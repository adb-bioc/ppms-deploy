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pms-oi\application_ppms\templates\"/>
    </mc:Choice>
  </mc:AlternateContent>
  <xr:revisionPtr revIDLastSave="0" documentId="13_ncr:1_{68051129-51BF-44A7-9869-08E7C73DFE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rtfolio" sheetId="4" r:id="rId1"/>
    <sheet name="&lt;Approval numbers&gt;" sheetId="1" r:id="rId2"/>
    <sheet name="Field Definitions" sheetId="2" state="hidden" r:id="rId3"/>
    <sheet name="List" sheetId="6" state="hidden" r:id="rId4"/>
  </sheets>
  <definedNames>
    <definedName name="_xlnm._FilterDatabase" localSheetId="1" hidden="1">'&lt;Approval numbers&gt;'!$A$1:$A$392</definedName>
    <definedName name="_xlnm.Print_Area" localSheetId="1">'&lt;Approval numbers&gt;'!$B$1:$N$291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7" i="1" l="1"/>
  <c r="M185" i="1"/>
  <c r="M183" i="1"/>
  <c r="M181" i="1"/>
  <c r="M180" i="1"/>
  <c r="M178" i="1"/>
  <c r="M177" i="1"/>
  <c r="M176" i="1"/>
  <c r="G171" i="1" l="1"/>
  <c r="I161" i="1"/>
  <c r="I160" i="1"/>
  <c r="I159" i="1"/>
  <c r="I157" i="1"/>
  <c r="I156" i="1"/>
  <c r="I155" i="1"/>
  <c r="I154" i="1"/>
  <c r="I153" i="1"/>
  <c r="I150" i="1"/>
  <c r="I149" i="1"/>
  <c r="T139" i="1"/>
  <c r="X21" i="1"/>
  <c r="W21" i="1"/>
  <c r="W20" i="1"/>
  <c r="X20" i="1" s="1"/>
  <c r="W19" i="1"/>
  <c r="X19" i="1" s="1"/>
  <c r="X18" i="1"/>
  <c r="W18" i="1"/>
  <c r="V21" i="1"/>
  <c r="U21" i="1"/>
  <c r="U20" i="1"/>
  <c r="V20" i="1" s="1"/>
  <c r="U19" i="1"/>
  <c r="V19" i="1" s="1"/>
  <c r="U18" i="1"/>
  <c r="V18" i="1" s="1"/>
  <c r="T21" i="1"/>
  <c r="S21" i="1"/>
  <c r="R21" i="1"/>
  <c r="Q21" i="1"/>
  <c r="P21" i="1"/>
  <c r="O21" i="1"/>
  <c r="N21" i="1"/>
  <c r="M21" i="1"/>
  <c r="S20" i="1"/>
  <c r="T20" i="1" s="1"/>
  <c r="Q20" i="1"/>
  <c r="O20" i="1"/>
  <c r="P20" i="1" s="1"/>
  <c r="M20" i="1"/>
  <c r="R20" i="1" s="1"/>
  <c r="S19" i="1"/>
  <c r="T19" i="1" s="1"/>
  <c r="R19" i="1"/>
  <c r="Q19" i="1"/>
  <c r="O19" i="1"/>
  <c r="P19" i="1" s="1"/>
  <c r="M19" i="1"/>
  <c r="N19" i="1" s="1"/>
  <c r="Q18" i="1"/>
  <c r="S18" i="1"/>
  <c r="T18" i="1" s="1"/>
  <c r="U143" i="1"/>
  <c r="T143" i="1"/>
  <c r="M143" i="1"/>
  <c r="U142" i="1"/>
  <c r="T142" i="1"/>
  <c r="M142" i="1"/>
  <c r="U141" i="1"/>
  <c r="T141" i="1"/>
  <c r="M141" i="1"/>
  <c r="U138" i="1"/>
  <c r="U137" i="1"/>
  <c r="T136" i="1"/>
  <c r="U136" i="1"/>
  <c r="T135" i="1"/>
  <c r="T134" i="1"/>
  <c r="T133" i="1"/>
  <c r="U133" i="1" s="1"/>
  <c r="T131" i="1"/>
  <c r="U131" i="1" s="1"/>
  <c r="M131" i="1"/>
  <c r="T130" i="1"/>
  <c r="U130" i="1" s="1"/>
  <c r="M188" i="1" l="1"/>
  <c r="I171" i="1"/>
  <c r="H171" i="1" s="1"/>
  <c r="N20" i="1"/>
  <c r="M133" i="1"/>
  <c r="J140" i="1"/>
  <c r="J144" i="1" s="1"/>
  <c r="M130" i="1"/>
  <c r="L140" i="1"/>
  <c r="L144" i="1" s="1"/>
  <c r="K140" i="1"/>
  <c r="K144" i="1" s="1"/>
  <c r="U135" i="1"/>
  <c r="T132" i="1"/>
  <c r="U132" i="1" s="1"/>
  <c r="O18" i="1" s="1"/>
  <c r="P18" i="1" s="1"/>
  <c r="M136" i="1"/>
  <c r="M134" i="1"/>
  <c r="U134" i="1"/>
  <c r="M132" i="1"/>
  <c r="M137" i="1"/>
  <c r="T137" i="1"/>
  <c r="M138" i="1"/>
  <c r="T138" i="1"/>
  <c r="M135" i="1"/>
  <c r="M144" i="1" l="1"/>
  <c r="M140" i="1"/>
  <c r="M18" i="1"/>
  <c r="J21" i="1"/>
  <c r="J20" i="1"/>
  <c r="J19" i="1"/>
  <c r="J18" i="1"/>
  <c r="L22" i="1"/>
  <c r="R22" i="1" s="1"/>
  <c r="K22" i="1"/>
  <c r="A2" i="4"/>
  <c r="BO6" i="4" s="1"/>
  <c r="M44" i="1"/>
  <c r="L44" i="1"/>
  <c r="K44" i="1"/>
  <c r="J44" i="1"/>
  <c r="I44" i="1"/>
  <c r="H44" i="1"/>
  <c r="G44" i="1"/>
  <c r="F44" i="1"/>
  <c r="E44" i="1"/>
  <c r="D44" i="1"/>
  <c r="C44" i="1"/>
  <c r="E26" i="1" s="1"/>
  <c r="I39" i="1"/>
  <c r="J39" i="1"/>
  <c r="K39" i="1"/>
  <c r="L39" i="1"/>
  <c r="M39" i="1"/>
  <c r="H39" i="1"/>
  <c r="F39" i="1"/>
  <c r="G39" i="1"/>
  <c r="E39" i="1"/>
  <c r="D39" i="1"/>
  <c r="C39" i="1"/>
  <c r="D26" i="1" s="1"/>
  <c r="H62" i="1"/>
  <c r="G62" i="1"/>
  <c r="N18" i="1" l="1"/>
  <c r="R18" i="1"/>
  <c r="V22" i="1"/>
  <c r="O22" i="1"/>
  <c r="Q22" i="1"/>
  <c r="F14" i="1"/>
  <c r="W22" i="1"/>
  <c r="S22" i="1"/>
  <c r="N22" i="1"/>
  <c r="P22" i="1"/>
  <c r="M22" i="1"/>
  <c r="X22" i="1"/>
  <c r="T22" i="1"/>
  <c r="U22" i="1"/>
  <c r="AX6" i="4"/>
  <c r="BC6" i="4"/>
  <c r="BD6" i="4"/>
  <c r="BI6" i="4"/>
  <c r="BJ6" i="4"/>
  <c r="BT6" i="4"/>
  <c r="BU6" i="4"/>
  <c r="BZ6" i="4"/>
  <c r="AS6" i="4"/>
  <c r="BQ6" i="4" l="1"/>
  <c r="AW6" i="4"/>
  <c r="BP6" i="4"/>
  <c r="AV6" i="4"/>
  <c r="AU6" i="4"/>
  <c r="BN6" i="4"/>
  <c r="AT6" i="4"/>
  <c r="BM6" i="4"/>
  <c r="BL6" i="4"/>
  <c r="BK6" i="4"/>
  <c r="BH6" i="4"/>
  <c r="BG6" i="4"/>
  <c r="BF6" i="4"/>
  <c r="BY6" i="4"/>
  <c r="BE6" i="4"/>
  <c r="BX6" i="4"/>
  <c r="BW6" i="4"/>
  <c r="BV6" i="4"/>
  <c r="BB6" i="4"/>
  <c r="BA6" i="4"/>
  <c r="AZ6" i="4"/>
  <c r="BS6" i="4"/>
  <c r="AY6" i="4"/>
  <c r="BR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Ma. Samantha Mendoza. Valdez</author>
    <author>tc={D07BA474-C3D3-4268-94FB-C2ED9C763FC2}</author>
  </authors>
  <commentList>
    <comment ref="J130" authorId="0" shapeId="0" xr:uid="{FC62ED7E-CA01-4A2D-9013-0B9CBD38ED1D}">
      <text>
        <r>
          <rPr>
            <sz val="11"/>
            <color rgb="FF000000"/>
            <rFont val="Calibri"/>
            <family val="2"/>
          </rPr>
          <t xml:space="preserve">Ma. Samantha Mendoza. Valdez:
</t>
        </r>
        <r>
          <rPr>
            <sz val="11"/>
            <color rgb="FF000000"/>
            <rFont val="Calibri"/>
            <family val="2"/>
          </rPr>
          <t>Contracts 0001-0005 under LN 3090 are under the same package with overal contract estimate of $5.8m</t>
        </r>
      </text>
    </comment>
    <comment ref="J131" authorId="0" shapeId="0" xr:uid="{40097F14-EA56-438C-8592-F91B0FFCEAA5}">
      <text>
        <r>
          <rPr>
            <sz val="11"/>
            <color theme="1"/>
            <rFont val="Calibri"/>
            <family val="2"/>
            <scheme val="minor"/>
          </rPr>
          <t>Ma. Samantha Mendoza. Valdez:
Contracts 0001-0005 under LN 3090 are under the same package with overall contract estimate of $5.8m</t>
        </r>
      </text>
    </comment>
    <comment ref="J132" authorId="0" shapeId="0" xr:uid="{A39652D5-F13E-4B22-9DF8-E8AADC9AD453}">
      <text>
        <r>
          <rPr>
            <sz val="11"/>
            <color theme="1"/>
            <rFont val="Calibri"/>
            <family val="2"/>
            <scheme val="minor"/>
          </rPr>
          <t>Ma. Samantha Mendoza. Valdez:
Contracts 0001-0005 under LN 3090 are under the same package with overall contract estimate of $5.8m</t>
        </r>
      </text>
    </comment>
    <comment ref="J133" authorId="0" shapeId="0" xr:uid="{9EC7218E-FFCB-4035-B2D0-C1A8BF9F41D3}">
      <text>
        <r>
          <rPr>
            <sz val="11"/>
            <color theme="1"/>
            <rFont val="Calibri"/>
            <family val="2"/>
            <scheme val="minor"/>
          </rPr>
          <t>Ma. Samantha Mendoza. Valdez:
Contracts 0001-0005 under LN 3090 are under the same package with overall contract estimate of $5.8m</t>
        </r>
      </text>
    </comment>
    <comment ref="F176" authorId="1" shapeId="0" xr:uid="{D07BA474-C3D3-4268-94FB-C2ED9C763FC2}">
      <text>
        <t>[Threaded comment]
Your version of Excel allows you to read this threaded comment; however, any edits to it will get removed if the file is opened in a newer version of Excel. Learn more: https://go.microsoft.com/fwlink/?linkid=870924
Comment:
    {Note: This includes project contracts outside ADB procurement process, and within the project’s scope}</t>
      </text>
    </comment>
  </commentList>
</comments>
</file>

<file path=xl/sharedStrings.xml><?xml version="1.0" encoding="utf-8"?>
<sst xmlns="http://schemas.openxmlformats.org/spreadsheetml/2006/main" count="982" uniqueCount="498">
  <si>
    <t>Update as of</t>
  </si>
  <si>
    <t>Project Name:</t>
  </si>
  <si>
    <t xml:space="preserve">Sector/Subsector: </t>
  </si>
  <si>
    <t>Project Number</t>
  </si>
  <si>
    <t>Project Officer:</t>
  </si>
  <si>
    <t>Loan/Grant Number:</t>
  </si>
  <si>
    <t>Project Analyst:</t>
  </si>
  <si>
    <t>Executing/Implementing Agency:</t>
  </si>
  <si>
    <t>Project Document Link:</t>
  </si>
  <si>
    <t>ADB Administering Unit:</t>
  </si>
  <si>
    <t>If TRJM, date of project transfer:</t>
  </si>
  <si>
    <t>Project Handover Document Link:</t>
  </si>
  <si>
    <t>A. Loan/Grant Basic Data</t>
  </si>
  <si>
    <t xml:space="preserve">ADB Financing </t>
  </si>
  <si>
    <t>Government Financing</t>
  </si>
  <si>
    <t>Total ($ million equivalent)</t>
  </si>
  <si>
    <t/>
  </si>
  <si>
    <t>Product</t>
  </si>
  <si>
    <t>Source</t>
  </si>
  <si>
    <t>Amount</t>
  </si>
  <si>
    <t>Approval</t>
  </si>
  <si>
    <t>Signing</t>
  </si>
  <si>
    <t>Effectivity</t>
  </si>
  <si>
    <t>Closing</t>
  </si>
  <si>
    <t>Original</t>
  </si>
  <si>
    <t>Revised</t>
  </si>
  <si>
    <t>Environment Category</t>
  </si>
  <si>
    <t>Involuntary Resettlement Category</t>
  </si>
  <si>
    <t>Indigenous People's Category</t>
  </si>
  <si>
    <t>Gender Category</t>
  </si>
  <si>
    <t>B. Project Rating</t>
  </si>
  <si>
    <t>Operation Project Rating</t>
  </si>
  <si>
    <t>Parameters</t>
  </si>
  <si>
    <t>Outputs</t>
  </si>
  <si>
    <t>Contract Awards 
(%)</t>
  </si>
  <si>
    <t>Disbursement 
(%)</t>
  </si>
  <si>
    <t>Financial Management</t>
  </si>
  <si>
    <t>Safeguards</t>
  </si>
  <si>
    <t>Overall Rating</t>
  </si>
  <si>
    <t>Ratings</t>
  </si>
  <si>
    <t>Consecutive Overall Project Rating</t>
  </si>
  <si>
    <t>Validated</t>
  </si>
  <si>
    <t>Current</t>
  </si>
  <si>
    <t>2024, Q4</t>
  </si>
  <si>
    <t>2025, Q1</t>
  </si>
  <si>
    <t>2025, Q2</t>
  </si>
  <si>
    <t>2025, Q3</t>
  </si>
  <si>
    <t>2025, Q4</t>
  </si>
  <si>
    <t>C.  Contract Awards and Disbursements</t>
  </si>
  <si>
    <t>CA</t>
  </si>
  <si>
    <t>Total Cumulative</t>
  </si>
  <si>
    <t>Q1 2025</t>
  </si>
  <si>
    <t>Q2 2025</t>
  </si>
  <si>
    <t>Q3 2025</t>
  </si>
  <si>
    <t>Q4 2025</t>
  </si>
  <si>
    <t>2025 Total</t>
  </si>
  <si>
    <t>eOps</t>
  </si>
  <si>
    <t>Committed</t>
  </si>
  <si>
    <t>Target</t>
  </si>
  <si>
    <t>Achievement</t>
  </si>
  <si>
    <t>(%)</t>
  </si>
  <si>
    <t>DB</t>
  </si>
  <si>
    <t>Net Amt.</t>
  </si>
  <si>
    <t>Uncontr.</t>
  </si>
  <si>
    <t>Projn</t>
  </si>
  <si>
    <t>Target CAR</t>
  </si>
  <si>
    <t>YTD Projn</t>
  </si>
  <si>
    <t>Achvd</t>
  </si>
  <si>
    <t>Achvd %</t>
  </si>
  <si>
    <t>YTD Achvd</t>
  </si>
  <si>
    <t>YTD Trgt</t>
  </si>
  <si>
    <t>Undisb.</t>
  </si>
  <si>
    <t>Target DR</t>
  </si>
  <si>
    <t>YTD</t>
  </si>
  <si>
    <t>Achvd DR</t>
  </si>
  <si>
    <t>Amt.(A)</t>
  </si>
  <si>
    <t>(B)</t>
  </si>
  <si>
    <t>(D) = B/A a,b</t>
  </si>
  <si>
    <t>(E)</t>
  </si>
  <si>
    <t>(F)</t>
  </si>
  <si>
    <t>(G) = F/B</t>
  </si>
  <si>
    <t>% (H)=F/E</t>
  </si>
  <si>
    <t>CAR % a,b</t>
  </si>
  <si>
    <t>% CAR a,b</t>
  </si>
  <si>
    <t>Amt. (A)</t>
  </si>
  <si>
    <t>(D)=B/A b,c</t>
  </si>
  <si>
    <t>(G)=F/B</t>
  </si>
  <si>
    <t xml:space="preserve">% (H)=F/E </t>
  </si>
  <si>
    <t>% b,c</t>
  </si>
  <si>
    <t>% DR b,c</t>
  </si>
  <si>
    <t>Note: If procurement is still in process, please indicate status of procurement processing in the  status.</t>
  </si>
  <si>
    <t>Output 1: Climate-resilient water supply and sanitation infrastructure rehabilitated and expanded</t>
  </si>
  <si>
    <t>Package No. 
(as in Proc. Plan)</t>
  </si>
  <si>
    <t>Description</t>
  </si>
  <si>
    <t>Contractor</t>
  </si>
  <si>
    <t>Contract No. 
(PCSS)</t>
  </si>
  <si>
    <t>Contract Amount 
($ equiv.)</t>
  </si>
  <si>
    <t>Disbursement
 ($ equiv.)</t>
  </si>
  <si>
    <t>Contract 
Completion Date</t>
  </si>
  <si>
    <t>Status</t>
  </si>
  <si>
    <t>Contract Progress</t>
  </si>
  <si>
    <t>Status/Progress of Output Delivery</t>
  </si>
  <si>
    <t>Total</t>
  </si>
  <si>
    <t>Output 2: Sustainable business model and institutional capacity developed</t>
  </si>
  <si>
    <t>Project Management</t>
  </si>
  <si>
    <t>Implementation Status</t>
  </si>
  <si>
    <t>Grand Total</t>
  </si>
  <si>
    <t>APFS</t>
  </si>
  <si>
    <t>FY2018</t>
  </si>
  <si>
    <t>FY2019</t>
  </si>
  <si>
    <t>FY2020</t>
  </si>
  <si>
    <t>FY2021</t>
  </si>
  <si>
    <t>FY2022</t>
  </si>
  <si>
    <t xml:space="preserve"> FY2023</t>
  </si>
  <si>
    <t>FY2024</t>
  </si>
  <si>
    <t>FY2025</t>
  </si>
  <si>
    <t>FY2026</t>
  </si>
  <si>
    <t>Remarks</t>
  </si>
  <si>
    <t>AEFS</t>
  </si>
  <si>
    <t>IEE</t>
  </si>
  <si>
    <t>EIA</t>
  </si>
  <si>
    <t>Semi-annual report (currently due)</t>
  </si>
  <si>
    <t>Grievance Redress Mechanism</t>
  </si>
  <si>
    <t>Corrective Action Plan (CAP) - Current</t>
  </si>
  <si>
    <t>Status of CAP</t>
  </si>
  <si>
    <t>LARP</t>
  </si>
  <si>
    <t>Due Diligence Report</t>
  </si>
  <si>
    <t>Issues</t>
  </si>
  <si>
    <t>Date</t>
  </si>
  <si>
    <t>Type of Mission</t>
  </si>
  <si>
    <t>Aide Memoire</t>
  </si>
  <si>
    <t>BTOR</t>
  </si>
  <si>
    <t>Item</t>
  </si>
  <si>
    <t>Mitigating Measure</t>
  </si>
  <si>
    <t>PPMS Field Definitions</t>
  </si>
  <si>
    <t>Project Summary Section</t>
  </si>
  <si>
    <t>Field</t>
  </si>
  <si>
    <t>Field Type</t>
  </si>
  <si>
    <t>Title</t>
  </si>
  <si>
    <t>Data</t>
  </si>
  <si>
    <t>Formula</t>
  </si>
  <si>
    <t>Multiple Rows</t>
  </si>
  <si>
    <t>Closing Original</t>
  </si>
  <si>
    <t>Closing Revised</t>
  </si>
  <si>
    <t>% Elapsed Time</t>
  </si>
  <si>
    <t>Parametrs</t>
  </si>
  <si>
    <t>Reason</t>
  </si>
  <si>
    <t>Year, Quarter 1 Label</t>
  </si>
  <si>
    <t>Year, Quarter 2 Label</t>
  </si>
  <si>
    <t>Year, Quarter 3 Label</t>
  </si>
  <si>
    <t>Year, Quarter 4 Label</t>
  </si>
  <si>
    <t>Year, Quarter (current) Label</t>
  </si>
  <si>
    <t>Year, Quarter 1 Value</t>
  </si>
  <si>
    <t>Year, Quarter 2 Value</t>
  </si>
  <si>
    <t>Year, Quarter 3 Value</t>
  </si>
  <si>
    <t>Year, Quarter 4 Value</t>
  </si>
  <si>
    <t>Year, Quarter (current) Value</t>
  </si>
  <si>
    <t>Quarter 1 Year Label</t>
  </si>
  <si>
    <t>Quarter 2 Year Label</t>
  </si>
  <si>
    <t>Quarter 3 Year Label</t>
  </si>
  <si>
    <t>Quarter 4 Year Label</t>
  </si>
  <si>
    <t>Year Total</t>
  </si>
  <si>
    <t>Target-Total Cumulative</t>
  </si>
  <si>
    <t>Target-Quarter 1 Year-eOps-Value</t>
  </si>
  <si>
    <t>Target-Quarter 1 Year-Committed-Value</t>
  </si>
  <si>
    <t>Target-Quarter 2 Year-eOps-Value</t>
  </si>
  <si>
    <t>Target-Quarter 2 Year-Committed-Value</t>
  </si>
  <si>
    <t>Target-Quarter 3 Year-eOps-Value</t>
  </si>
  <si>
    <t>Target-Quarter 3 Year-Committed-Value</t>
  </si>
  <si>
    <t>Target-Quarter 4 Year-eOps-Value</t>
  </si>
  <si>
    <t>Target-Quarter 4 Year-Committed-Value</t>
  </si>
  <si>
    <t>Target-Year Total-eOps-Value</t>
  </si>
  <si>
    <t>Target-Year Total-Committed-Value</t>
  </si>
  <si>
    <t>Achievement-Total Cumulative</t>
  </si>
  <si>
    <t>Achievement-Quarter 1 Year</t>
  </si>
  <si>
    <t>Achievement-Quarter 2 Year</t>
  </si>
  <si>
    <t>Achievement-Quarter 3 Year</t>
  </si>
  <si>
    <t>Achievement-Quarter 4 Year</t>
  </si>
  <si>
    <t>Achievement-Year Total</t>
  </si>
  <si>
    <t>(%)-Total Cumulative</t>
  </si>
  <si>
    <t>(%)-Quarter 1 Year-eOps-Percentage</t>
  </si>
  <si>
    <t>(%)-Quarter 1 Year-Committed-Percentage</t>
  </si>
  <si>
    <t>(%)-Quarter 2 Year-eOps-Percentage</t>
  </si>
  <si>
    <t>(%)-Quarter 2 Year-Committed-Percentage</t>
  </si>
  <si>
    <t>(%)-Quarter 3 Year-eOps-Percentage</t>
  </si>
  <si>
    <t>(%)-Quarter 3 Year-Committed-Percentage</t>
  </si>
  <si>
    <t>(%)-Quarter 4 Year-eOps-Percentage</t>
  </si>
  <si>
    <t>(%)-Quarter 4 Year-Committed-Percentage</t>
  </si>
  <si>
    <t>(%)-Year Total-eOps-Percentage</t>
  </si>
  <si>
    <t>(%)-Year Total-Committed-Percentage</t>
  </si>
  <si>
    <t>To be continued ….</t>
  </si>
  <si>
    <t>D.  Contract Awards and Disbursements (Annual Target vs.  Actual CAD and CAD Ratios)</t>
  </si>
  <si>
    <t>E.  Output Delivery and Procurement</t>
  </si>
  <si>
    <t>F. Financial Management Compliance</t>
  </si>
  <si>
    <t>G. Environmental Safeguards Compliance (fill in as applicable)</t>
  </si>
  <si>
    <t>H. Social Safeguards Compliance (fill in as applicable)</t>
  </si>
  <si>
    <t>I. Gender Action Plan</t>
  </si>
  <si>
    <t>J. Missions</t>
  </si>
  <si>
    <t>K. Major Issues</t>
  </si>
  <si>
    <t>L. Other issues</t>
  </si>
  <si>
    <t xml:space="preserve">E.  Output Delivery and Procurement </t>
  </si>
  <si>
    <t>G.  Environmental Safeguards Compliance (fill in as applicable)</t>
  </si>
  <si>
    <t>H.  Social Safeguards Compliance (fill in as applicable)</t>
  </si>
  <si>
    <t>Data Source</t>
  </si>
  <si>
    <t>System Source</t>
  </si>
  <si>
    <t>No.</t>
  </si>
  <si>
    <t>Country</t>
  </si>
  <si>
    <t>Loan / Grant No.</t>
  </si>
  <si>
    <t>Project Officer</t>
  </si>
  <si>
    <t>Project Analyst</t>
  </si>
  <si>
    <t>Project Name</t>
  </si>
  <si>
    <t>Executing Agency</t>
  </si>
  <si>
    <t>Last Updated</t>
  </si>
  <si>
    <t>I. Basic Data</t>
  </si>
  <si>
    <t>II. Project Performance Rating</t>
  </si>
  <si>
    <t>III. Implementation Status</t>
  </si>
  <si>
    <t>IV. Financial Management</t>
  </si>
  <si>
    <t>V. Output</t>
  </si>
  <si>
    <t>VI. Safeguards</t>
  </si>
  <si>
    <t>Effective</t>
  </si>
  <si>
    <t>Original Closing</t>
  </si>
  <si>
    <t>Revised Closing</t>
  </si>
  <si>
    <t>Financial Closing</t>
  </si>
  <si>
    <t>PCR Due Date</t>
  </si>
  <si>
    <t>Original Amount</t>
  </si>
  <si>
    <t>Net Effective</t>
  </si>
  <si>
    <t>Allocated</t>
  </si>
  <si>
    <t>Unallocated</t>
  </si>
  <si>
    <t>Uncommitted</t>
  </si>
  <si>
    <t>Disbursed</t>
  </si>
  <si>
    <t>Undisbursed</t>
  </si>
  <si>
    <t>Output</t>
  </si>
  <si>
    <t>Contract Award</t>
  </si>
  <si>
    <t>Disbursement</t>
  </si>
  <si>
    <t>Overall</t>
  </si>
  <si>
    <t>Contract Award (eOps Target)</t>
  </si>
  <si>
    <t>Contract Award (Achievable Estimate)</t>
  </si>
  <si>
    <t>Contract Award (Actual)</t>
  </si>
  <si>
    <t>Disbursement (eOps Target)</t>
  </si>
  <si>
    <t>Disbursement (Achievable Estimate)</t>
  </si>
  <si>
    <t>Disbursement (Actual)</t>
  </si>
  <si>
    <t>Rating</t>
  </si>
  <si>
    <t>Score</t>
  </si>
  <si>
    <t>Indicators</t>
  </si>
  <si>
    <t>Yearend</t>
  </si>
  <si>
    <t>Project Performance Monitoring System Portfolio</t>
  </si>
  <si>
    <t>Reason 
(if FA or AR)</t>
  </si>
  <si>
    <t>Timeliness (date submitted)</t>
  </si>
  <si>
    <t>Quality
(date accepted by ADB)</t>
  </si>
  <si>
    <t>Disclosure (date)</t>
  </si>
  <si>
    <t>PCR
Due Date</t>
  </si>
  <si>
    <t>Project Performance Monitoring Sheet</t>
  </si>
  <si>
    <t>Contract Type</t>
  </si>
  <si>
    <t>Operations Insights</t>
  </si>
  <si>
    <t>Contract</t>
  </si>
  <si>
    <t xml:space="preserve">Procurement/
Selection Method </t>
  </si>
  <si>
    <t>Contract Estimate</t>
  </si>
  <si>
    <t>Contract Amount</t>
  </si>
  <si>
    <t>Disbursed Amount</t>
  </si>
  <si>
    <t>Disbursed vs Contract</t>
  </si>
  <si>
    <t>Contract Status</t>
  </si>
  <si>
    <t>Related Output Indicator</t>
  </si>
  <si>
    <t>Status of Implementation / Procurement</t>
  </si>
  <si>
    <t>COMMITTED</t>
  </si>
  <si>
    <t>ALLOCATED</t>
  </si>
  <si>
    <t>DO NOT INSERT BELOW THIS ROW</t>
  </si>
  <si>
    <t>Total w/ IDC</t>
  </si>
  <si>
    <t>Loan / Grant</t>
  </si>
  <si>
    <t>=IF(ISBLANK(F100),0,(VLOOKUP(G100,'List'!I13!$G$2:$H$12,2,FALSE))*F100)</t>
  </si>
  <si>
    <t>No Gender Elements</t>
  </si>
  <si>
    <t>FI</t>
  </si>
  <si>
    <t>Some Gender Benefits</t>
  </si>
  <si>
    <t>C</t>
  </si>
  <si>
    <t>Effective Gender Mainstreaming</t>
  </si>
  <si>
    <t>B</t>
  </si>
  <si>
    <t>Gender Equity Theme</t>
  </si>
  <si>
    <t>A</t>
  </si>
  <si>
    <t>Gender</t>
  </si>
  <si>
    <t>ENV/IR/IP</t>
  </si>
  <si>
    <t>Others</t>
  </si>
  <si>
    <t>ICS</t>
  </si>
  <si>
    <t>LCS</t>
  </si>
  <si>
    <t>FBS</t>
  </si>
  <si>
    <t>CQS</t>
  </si>
  <si>
    <t>QBS</t>
  </si>
  <si>
    <t>QCBS</t>
  </si>
  <si>
    <t>Force Account</t>
  </si>
  <si>
    <t>Mongolia</t>
  </si>
  <si>
    <t>MON</t>
  </si>
  <si>
    <t>e-Auction</t>
  </si>
  <si>
    <t>PRC</t>
  </si>
  <si>
    <t>Not due to start</t>
  </si>
  <si>
    <t>LIB</t>
  </si>
  <si>
    <t>Regional</t>
  </si>
  <si>
    <t>REG</t>
  </si>
  <si>
    <t>Cancelled</t>
  </si>
  <si>
    <t>LCB</t>
  </si>
  <si>
    <t>Uzbekistan</t>
  </si>
  <si>
    <t>UZB</t>
  </si>
  <si>
    <t>On Track</t>
  </si>
  <si>
    <t>Yes, corrective action has been taken, and IPPs were updated/prepared and cleared after contract award.</t>
  </si>
  <si>
    <t>Yes, corrective action has been taken, and detailed engineering design-based RPs were updated/prepared and cleared after contract award.</t>
  </si>
  <si>
    <t>Yes, corrective action (by contract variation) has been taken following any contract award to incorporate EMP cleared by ADB and/or any conditions of any national EIA/IEE clearance into contract.</t>
  </si>
  <si>
    <t>Not started, delayed by ≥ 7 months</t>
  </si>
  <si>
    <t>Direct Contracting</t>
  </si>
  <si>
    <t>Turkmenistan</t>
  </si>
  <si>
    <t>TKM</t>
  </si>
  <si>
    <t>Corrective action has been taken, and all clearances for all works commenced prior to or during reporting period have now been obtained.</t>
  </si>
  <si>
    <t>At Risk</t>
  </si>
  <si>
    <t>Yes, a standard contract was awarded without ADB’s prior approval of final IPP.</t>
  </si>
  <si>
    <t>Yes, a standard contract was awarded without ADB’s prior approval of final RP/DDR.</t>
  </si>
  <si>
    <t>Yes, a standard contract was awarded without including EMP cleared by ADB and/or any conditions of any national EIA/IEE clearance.</t>
  </si>
  <si>
    <t>Not started, delayed by ≤ 6 months</t>
  </si>
  <si>
    <t>RFQ</t>
  </si>
  <si>
    <t>Tajikistan</t>
  </si>
  <si>
    <t>TAJ</t>
  </si>
  <si>
    <t>% difference = 10/12.5 = 80%</t>
  </si>
  <si>
    <t xml:space="preserve">No. National EIA/IEE clearance*** is missing for any works commenced prior to or during reporting period </t>
  </si>
  <si>
    <t>Yes, a contract turnkey/DBO/EPC but it excludes requirements for civil works to be conditional upon clearance of final IPPs.</t>
  </si>
  <si>
    <t>Yes, a contract is turnkey/DBO/EPC, but it excludes requirements for civil works to be conditional upon clearance of final RPs.</t>
  </si>
  <si>
    <t>Yes, awarded contract is turnkey/DBO/EPC** but it excludes an outline design-based EMP cleared by ADB and/or any conditions of any national EIA/IEE clearance.</t>
  </si>
  <si>
    <t>Delayed and potential risk of missing target</t>
  </si>
  <si>
    <t>Shopping</t>
  </si>
  <si>
    <t>Pakistan</t>
  </si>
  <si>
    <t>PAK</t>
  </si>
  <si>
    <t>Projected CA starting at effectiveness = 12.5</t>
  </si>
  <si>
    <t>Financial Management Rating</t>
  </si>
  <si>
    <t>Yes, implementation of time-bound CAP actions overdue for more than 3 months.</t>
  </si>
  <si>
    <t>Yes, corrective action has been taken, and all compensations are now paid as verified through relevant compliance reports cleared by ADB.</t>
  </si>
  <si>
    <t>No. National EIA/IEE clearance*** is obtained for project output/component but other clearances missing; no time bound corrective action plan in place to obtain them, or corrective action is more than 3 months overdue.</t>
  </si>
  <si>
    <t>Yes, a contract turnkey/DBO/EPC but it includes requirements for civil works to be conditional upon clearance of final IPPs.</t>
  </si>
  <si>
    <t>Yes, a contract is turnkey/DBO/EPC, and it includes requirements for civil works to be conditional upon clearance of final RPs/DDRs (no other options apply).</t>
  </si>
  <si>
    <t>Yes, awarded contract is turnkey/DBO/EPC** but it includes an outline design-based EMP cleared by ADB and any conditions of any national EIA/IEE clearance.</t>
  </si>
  <si>
    <t>Midterm Review</t>
  </si>
  <si>
    <t>On time, will underachieve target</t>
  </si>
  <si>
    <t>OCB 2S</t>
  </si>
  <si>
    <t>Kyrgyz Republic</t>
  </si>
  <si>
    <t>KGZ</t>
  </si>
  <si>
    <t>Ex. Actual cumulative CA = 10</t>
  </si>
  <si>
    <t>Compliance with Financial Covenants</t>
  </si>
  <si>
    <t>For Attention</t>
  </si>
  <si>
    <t>Yes, implementation of time-bound CAP actions overdue for 3 months or less.</t>
  </si>
  <si>
    <t>Yes</t>
  </si>
  <si>
    <t>No. National EIA/IEE clearance*** is obtained for project output/component but other clearances missing; time bound corrective action plan is in place to obtain. Plan is 3 months or less overdue.</t>
  </si>
  <si>
    <t>Yes, contracts have been awarded, with some IPPs pending to be finalized on a section-by-section basis.</t>
  </si>
  <si>
    <t>Yes, contract(s) have been awarded, with some RPs/DDRs pending to be finalized on a section-by-section basis within a contract package (and no other options apply).</t>
  </si>
  <si>
    <t>No, not all contracts are awarded. Contracts under bidding do not contain EMPs cleared by ADB and/or any conditions of any national EIA/IEE [explain]. All awarded contracts included EMPs cleared by ADB and any conditions of any national EIA/IEE clearance.</t>
  </si>
  <si>
    <t>Consultation</t>
  </si>
  <si>
    <t>No</t>
  </si>
  <si>
    <t>On time, but potential risk of missing target</t>
  </si>
  <si>
    <t xml:space="preserve">EPC </t>
  </si>
  <si>
    <t>ICB 2S</t>
  </si>
  <si>
    <t>Kazakhstan</t>
  </si>
  <si>
    <t>KAZ</t>
  </si>
  <si>
    <t>At least one response is At Risk or an assessment question unanswered</t>
  </si>
  <si>
    <t>&lt;50%</t>
  </si>
  <si>
    <t>&lt;75%</t>
  </si>
  <si>
    <t>At Risk (0)</t>
  </si>
  <si>
    <t>&lt;70%</t>
  </si>
  <si>
    <t>&lt;65%</t>
  </si>
  <si>
    <t xml:space="preserve">Not yet submitted or undisclosed, reporting and/or disclosure is overdue for more than 12 months </t>
  </si>
  <si>
    <t>Yes, still within time-bound CAP.</t>
  </si>
  <si>
    <t>No, the project has an Accountability Mechanism (CRP)-eligible complaint(s) but CAP still in development or NOT on track for full compliance at end of CAP implementation period.</t>
  </si>
  <si>
    <t>No access is given to sites where compensations are ongoing or pending.</t>
  </si>
  <si>
    <t>Unknown</t>
  </si>
  <si>
    <t>No, not all contracts awarded, with final IPPs still pending for those contracts.</t>
  </si>
  <si>
    <t>No, not all contracts awarded, with final RPs/DDRs still pending for those contracts. Any awarded contracts meet the requirement of RPs/DDRs being cleared (no other options apply).</t>
  </si>
  <si>
    <t>No, not all contracts are awarded. Contracts under bidding incl. EMPs cleared by ADB and applicable conditions of national EIA/IEE clearances. All awarded contracts included EMPs cleared by ADB and any conditions of applicable national EIA/IEE clearance.</t>
  </si>
  <si>
    <t>Project Completion</t>
  </si>
  <si>
    <t>On track to meet target, delayed</t>
  </si>
  <si>
    <t>Goods</t>
  </si>
  <si>
    <t>OCB 1S2E</t>
  </si>
  <si>
    <t>Georgia</t>
  </si>
  <si>
    <t>GEO</t>
  </si>
  <si>
    <t>At least one response is For Attention and no At Risk</t>
  </si>
  <si>
    <t>50% to 75%</t>
  </si>
  <si>
    <t>75% to 90%</t>
  </si>
  <si>
    <t>For Attention (0.7)</t>
  </si>
  <si>
    <t>70% to &lt;85%</t>
  </si>
  <si>
    <t>65% to &lt;90%</t>
  </si>
  <si>
    <t>Not yet submitted, reporting is overdue for 12 months or less.</t>
  </si>
  <si>
    <t>Yes, no time-bound CAP agreed for non-compliance.</t>
  </si>
  <si>
    <t>No, the project has an Accountability Mechanism (CRP)-eligible complaint(s) but CAP implementation is on track for full compliance at end of CAP implementation period.</t>
  </si>
  <si>
    <t>Yes, all clearances were obtained for all works commenced prior to or during reporting period.</t>
  </si>
  <si>
    <t>No, all contracts have been awarded after final IPPs were cleared.</t>
  </si>
  <si>
    <t>No, all contracts have been awarded after final RPs/DDRs were cleared.</t>
  </si>
  <si>
    <t>No, all contracts have been awarded and all include EMPs cleared by ADB and applicable conditions of national EIA/IEE clearance.</t>
  </si>
  <si>
    <t>Special Project Admin</t>
  </si>
  <si>
    <t>Not yet Due</t>
  </si>
  <si>
    <t>On track to meet target</t>
  </si>
  <si>
    <t>Non-Consulting Services</t>
  </si>
  <si>
    <t>ICB 1S2E</t>
  </si>
  <si>
    <t>AR</t>
  </si>
  <si>
    <t>Azerbaijan</t>
  </si>
  <si>
    <t>AZE</t>
  </si>
  <si>
    <t>All On Track</t>
  </si>
  <si>
    <t>&gt;=75%</t>
  </si>
  <si>
    <t>&gt;90%</t>
  </si>
  <si>
    <t>On Track (1.0)</t>
  </si>
  <si>
    <t>&gt;=85%</t>
  </si>
  <si>
    <t>&gt;=90%</t>
  </si>
  <si>
    <t>Action Plan if not On Track</t>
  </si>
  <si>
    <t>Indicator</t>
  </si>
  <si>
    <t>Yes. Submitted, reporting up to date or is within a grace period of one month.</t>
  </si>
  <si>
    <t>Unknown, due to any of the following: (1) external monitor not yet appointed, (2) no recent review mission fielded, (3) monitoring report to base decision on being overdue, (4) Other.</t>
  </si>
  <si>
    <t>Unknown or no functioning GRM.</t>
  </si>
  <si>
    <t>Not Applicable</t>
  </si>
  <si>
    <t>Not yet due, and/or no works requiring clearances were commenced prior to or during reporting period.</t>
  </si>
  <si>
    <t>Review</t>
  </si>
  <si>
    <t>Deferred</t>
  </si>
  <si>
    <t>Completed, target underachieved by ≥16%</t>
  </si>
  <si>
    <t>Consulting Services</t>
  </si>
  <si>
    <t>OCB 1S1E</t>
  </si>
  <si>
    <t>FA</t>
  </si>
  <si>
    <t>Armenia</t>
  </si>
  <si>
    <t>ARM</t>
  </si>
  <si>
    <t>Safeguards Rating</t>
  </si>
  <si>
    <t>Responses</t>
  </si>
  <si>
    <t>FM Rating</t>
  </si>
  <si>
    <t>FM Score</t>
  </si>
  <si>
    <t>CA&amp;D Rating</t>
  </si>
  <si>
    <t>Actual vs. Projected % Difference</t>
  </si>
  <si>
    <t>Outputs Rating</t>
  </si>
  <si>
    <t>Overall Weighted Score</t>
  </si>
  <si>
    <t>Average</t>
  </si>
  <si>
    <t>B. Financial Management Rating</t>
  </si>
  <si>
    <t>Not applicable. Cat C or an FI treated as C.</t>
  </si>
  <si>
    <t>Yes, the project meets both criteria (functioning GRM and no CRP-eligible complaint(s) on file).</t>
  </si>
  <si>
    <t>No, all compensations/entitlements have been fully paid prior to displacement as confirmed by relevant ADB-cleared reports, for all project sites with involuntary resettlement impacts.</t>
  </si>
  <si>
    <t>Not applicable and/or no clearances required.</t>
  </si>
  <si>
    <t>Inception</t>
  </si>
  <si>
    <t>Not Required</t>
  </si>
  <si>
    <t>Completed, target achieved by ≥85%</t>
  </si>
  <si>
    <t>Works</t>
  </si>
  <si>
    <t>ICB 1S1E</t>
  </si>
  <si>
    <t>OT</t>
  </si>
  <si>
    <t>Afghanistan</t>
  </si>
  <si>
    <t>AFG</t>
  </si>
  <si>
    <t>Contract Award and Disbursement</t>
  </si>
  <si>
    <t>Outputs (Technical)</t>
  </si>
  <si>
    <t>Project Rating</t>
  </si>
  <si>
    <t>Safeguards Indicator 8</t>
  </si>
  <si>
    <t>Safeguards Indicator 7</t>
  </si>
  <si>
    <t>Safeguards Indicator 6</t>
  </si>
  <si>
    <t>Safeguards Indicator 5</t>
  </si>
  <si>
    <t>Safeguards Indicator 4</t>
  </si>
  <si>
    <t>Safeguards Indicator 3</t>
  </si>
  <si>
    <t>Safeguards Indicator 2</t>
  </si>
  <si>
    <t>Safeguards Indicator 1</t>
  </si>
  <si>
    <t>Mission Type</t>
  </si>
  <si>
    <t>FM status</t>
  </si>
  <si>
    <t>Weight</t>
  </si>
  <si>
    <t>Procurement Selection Method</t>
  </si>
  <si>
    <t>Countries</t>
  </si>
  <si>
    <t>Will improve to OT by _______. {add action plan}</t>
  </si>
  <si>
    <t>Potential Problem</t>
  </si>
  <si>
    <t>Output/Indicator</t>
  </si>
  <si>
    <t>Target Year</t>
  </si>
  <si>
    <t>Progress/Status</t>
  </si>
  <si>
    <t>Output 1:</t>
  </si>
  <si>
    <t>Output 2:</t>
  </si>
  <si>
    <t>Output 3:</t>
  </si>
  <si>
    <t>Output 4:</t>
  </si>
  <si>
    <t>Output 5:</t>
  </si>
  <si>
    <t>Output Rating</t>
  </si>
  <si>
    <t>Assessment Question</t>
  </si>
  <si>
    <t>Response / Comments</t>
  </si>
  <si>
    <t>A. Contract Awards</t>
  </si>
  <si>
    <t>1. ENV: No works contracts are awarded before the EMP(s) cleared by ADB and any conditions of any national EIA/IEE clearance are incorporated into contract documents</t>
  </si>
  <si>
    <t>For any project outputs/ components with environmental impacts or risks, are there any works contracts that have been awarded by the borrower without EMP(s)* cleared by ADB and any conditions of any national EIA/IEE clearance incorporated into the bid and contract documents?</t>
  </si>
  <si>
    <t>2. IR: No civil works contracts are awarded before final, detailed engineering design-based RP(s) are cleared by ADB</t>
  </si>
  <si>
    <t xml:space="preserve">For any project outputs/ components, are there any civil works contracts that have been awarded by the borrower without ADB’s clearance of final, detailed-engineering design- based RP(s)? </t>
  </si>
  <si>
    <t>3. IP: No civil works contracts are awarded before final, detailed engineering design-based IPP(s) are cleared by ADB.</t>
  </si>
  <si>
    <t xml:space="preserve">For any project outputs/components, are there any civil works contracts that have been awarded by the borrower without ADB’s clearance of final, detailed-engineering design based IPP(s)? </t>
  </si>
  <si>
    <t xml:space="preserve">For any project outputs/ components, are there any civil works contracts that have been awarded by the borrower without ADB’s clearance of final, detailed-engineering design based IPP(s)? </t>
  </si>
  <si>
    <t>B. Project Execution: Instruments</t>
  </si>
  <si>
    <t xml:space="preserve">4. ENV: Requisite national environment, health and safety clearances* and ADB environment safeguard clearances are obtained before commencement of applicable works.
* Including permits, consents, licenses etc.  </t>
  </si>
  <si>
    <t>For any project outputs/components with environmental impacts or risks, have the requisite national environment, health and safety clearances* and ADB environment safeguard clearances** been obtained before commencement of applicable works</t>
  </si>
  <si>
    <t>5. IR: No displacement occurs before all compensations are fully paid as confirmed by corresponding reporting.* 
*report definition as per OD</t>
  </si>
  <si>
    <t xml:space="preserve">For any project outputs/components, are there any civil works sites with involuntary resettlement impacts where access is granted to contractor(s) and economic and/or physical displacement occurs before compensations are fully paid to affected persons and other applicable assistance delivered in line with approved RP(s)? </t>
  </si>
  <si>
    <t>C. Project Execution: Grievances</t>
  </si>
  <si>
    <t xml:space="preserve">6. The project has  a functioning GRM and has no high-risk outstanding grievances related to implementation of safeguards. </t>
  </si>
  <si>
    <t>Does the project meet both criteria below: (a) has a functioning GRM; and 
(b) has NO Accountability Mechanism (CRP)-eligible complaint(s) on file?</t>
  </si>
  <si>
    <t>D. Project Execution: Safeguards Non-compliance</t>
  </si>
  <si>
    <t>7. There are no outstanding non-compliances related to implementation of safeguards*
*excluding non-compliances covered under Q1 through Q6</t>
  </si>
  <si>
    <t>Does the project have any outstanding non-compliances* [can be notified by staff, external monitor, regulatory agencies, supervision consultants, borrower, or contractors]?
*excluding non-compliances covered under Q1 through Q6</t>
  </si>
  <si>
    <t>E. Project Execution: Monitoring</t>
  </si>
  <si>
    <t xml:space="preserve">8. Scheduled monitoring reports* are submitted as per agreed schedule, commencing date loan effectiveness
*Includes periodic FI implementation status reports </t>
  </si>
  <si>
    <t xml:space="preserve">Is the project up-to-date with the scheduled monitoring reports? </t>
  </si>
  <si>
    <t>Advance Account</t>
  </si>
  <si>
    <t>~</t>
  </si>
  <si>
    <t>`</t>
  </si>
  <si>
    <r>
      <t xml:space="preserve">I. Contracts </t>
    </r>
    <r>
      <rPr>
        <i/>
        <sz val="10"/>
        <rFont val="Arial"/>
        <family val="2"/>
      </rPr>
      <t>(including any IDC)</t>
    </r>
  </si>
  <si>
    <t xml:space="preserve">J. Outputs </t>
  </si>
  <si>
    <t>K. Safeguards</t>
  </si>
  <si>
    <t>L. Gender Action Plan</t>
  </si>
  <si>
    <t>M.  Missions</t>
  </si>
  <si>
    <t>N. Major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</si>
</sst>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d\-mmm\-yy;@"/>
    <numFmt numFmtId="167" formatCode="0.0%"/>
    <numFmt numFmtId="168" formatCode="[$-409]dd\-mmm\-yy;@"/>
    <numFmt numFmtId="169" formatCode="#,##0.000"/>
    <numFmt numFmtId="170" formatCode="#,##0.0"/>
    <numFmt numFmtId="171" formatCode="0.000"/>
    <numFmt numFmtId="172" formatCode="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9"/>
      <color theme="0"/>
      <name val="Arial Narrow"/>
      <family val="2"/>
    </font>
    <font>
      <sz val="6"/>
      <color rgb="FF3C3C3C"/>
      <name val="Tahoma"/>
      <family val="2"/>
    </font>
    <font>
      <b/>
      <sz val="9"/>
      <color rgb="FF7030A0"/>
      <name val="Arial Narrow"/>
      <family val="2"/>
    </font>
    <font>
      <b/>
      <sz val="9"/>
      <name val="Arial Narrow"/>
      <family val="2"/>
    </font>
    <font>
      <b/>
      <sz val="9"/>
      <color theme="1"/>
      <name val="Arial Narrow"/>
      <family val="2"/>
    </font>
    <font>
      <sz val="9"/>
      <color rgb="FFFF0000"/>
      <name val="Arial Narrow"/>
      <family val="2"/>
    </font>
    <font>
      <sz val="9"/>
      <color rgb="FF000000"/>
      <name val="Arial Nova"/>
      <family val="2"/>
      <charset val="1"/>
    </font>
    <font>
      <sz val="9"/>
      <name val="Arial"/>
      <family val="2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sz val="10"/>
      <color theme="0" tint="-0.49998474074526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rgb="FF27531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7E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gray0625"/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ashed">
        <color rgb="FF000000"/>
      </left>
      <right style="hair">
        <color indexed="64"/>
      </right>
      <top style="dashed">
        <color rgb="FF000000"/>
      </top>
      <bottom style="dashed">
        <color rgb="FF000000"/>
      </bottom>
      <diagonal/>
    </border>
    <border>
      <left style="hair">
        <color indexed="64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165" fontId="1" fillId="0" borderId="0"/>
    <xf numFmtId="9" fontId="1" fillId="0" borderId="0"/>
    <xf numFmtId="164" fontId="1" fillId="0" borderId="0" applyFont="0" applyFill="0" applyBorder="0" applyAlignment="0" applyProtection="0"/>
  </cellStyleXfs>
  <cellXfs count="48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4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15" fontId="8" fillId="0" borderId="0" xfId="0" applyNumberFormat="1" applyFont="1" applyAlignment="1">
      <alignment horizontal="left" wrapText="1"/>
    </xf>
    <xf numFmtId="0" fontId="4" fillId="0" borderId="0" xfId="0" applyFont="1" applyAlignment="1">
      <alignment horizontal="left"/>
    </xf>
    <xf numFmtId="15" fontId="8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2" fontId="2" fillId="0" borderId="0" xfId="0" applyNumberFormat="1" applyFont="1" applyAlignment="1">
      <alignment horizontal="left"/>
    </xf>
    <xf numFmtId="0" fontId="2" fillId="0" borderId="1" xfId="0" applyFont="1" applyBorder="1" applyAlignment="1" applyProtection="1">
      <alignment horizontal="center" vertical="center"/>
      <protection locked="0"/>
    </xf>
    <xf numFmtId="166" fontId="2" fillId="0" borderId="1" xfId="0" applyNumberFormat="1" applyFont="1" applyBorder="1" applyAlignment="1" applyProtection="1">
      <alignment horizontal="center" vertical="center"/>
      <protection locked="0"/>
    </xf>
    <xf numFmtId="167" fontId="2" fillId="0" borderId="1" xfId="0" quotePrefix="1" applyNumberFormat="1" applyFont="1" applyBorder="1" applyAlignment="1" applyProtection="1">
      <alignment horizontal="center" vertical="center"/>
      <protection locked="0"/>
    </xf>
    <xf numFmtId="166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horizontal="left" wrapText="1"/>
    </xf>
    <xf numFmtId="0" fontId="4" fillId="0" borderId="18" xfId="0" applyFont="1" applyBorder="1" applyAlignment="1" applyProtection="1">
      <alignment horizontal="center" vertical="top"/>
      <protection locked="0"/>
    </xf>
    <xf numFmtId="167" fontId="2" fillId="7" borderId="18" xfId="0" applyNumberFormat="1" applyFont="1" applyFill="1" applyBorder="1" applyAlignment="1">
      <alignment horizontal="center" vertical="top"/>
    </xf>
    <xf numFmtId="0" fontId="2" fillId="0" borderId="18" xfId="0" applyFont="1" applyBorder="1" applyAlignment="1">
      <alignment horizontal="left" vertical="center" wrapText="1"/>
    </xf>
    <xf numFmtId="0" fontId="2" fillId="0" borderId="18" xfId="0" applyFont="1" applyBorder="1" applyProtection="1">
      <protection locked="0"/>
    </xf>
    <xf numFmtId="0" fontId="2" fillId="0" borderId="0" xfId="0" applyFont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 wrapText="1"/>
      <protection locked="0"/>
    </xf>
    <xf numFmtId="167" fontId="2" fillId="2" borderId="0" xfId="0" applyNumberFormat="1" applyFont="1" applyFill="1" applyAlignment="1" applyProtection="1">
      <alignment vertical="top"/>
      <protection locked="0"/>
    </xf>
    <xf numFmtId="167" fontId="2" fillId="0" borderId="0" xfId="0" applyNumberFormat="1" applyFont="1" applyAlignment="1" applyProtection="1">
      <alignment vertical="top" wrapText="1"/>
      <protection locked="0"/>
    </xf>
    <xf numFmtId="0" fontId="4" fillId="0" borderId="0" xfId="0" applyFont="1"/>
    <xf numFmtId="0" fontId="2" fillId="2" borderId="18" xfId="0" applyFont="1" applyFill="1" applyBorder="1" applyAlignment="1">
      <alignment horizontal="left" vertical="center" wrapText="1"/>
    </xf>
    <xf numFmtId="2" fontId="2" fillId="0" borderId="18" xfId="1" applyNumberFormat="1" applyFont="1" applyBorder="1" applyAlignment="1" applyProtection="1">
      <alignment horizontal="center" vertical="center"/>
      <protection locked="0"/>
    </xf>
    <xf numFmtId="2" fontId="2" fillId="0" borderId="18" xfId="0" applyNumberFormat="1" applyFont="1" applyBorder="1" applyAlignment="1" applyProtection="1">
      <alignment horizontal="center" vertical="center" wrapText="1"/>
      <protection locked="0"/>
    </xf>
    <xf numFmtId="2" fontId="2" fillId="2" borderId="18" xfId="0" applyNumberFormat="1" applyFont="1" applyFill="1" applyBorder="1" applyAlignment="1" applyProtection="1">
      <alignment horizontal="center" vertical="center" wrapText="1"/>
      <protection locked="0"/>
    </xf>
    <xf numFmtId="2" fontId="2" fillId="2" borderId="18" xfId="0" applyNumberFormat="1" applyFont="1" applyFill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18" xfId="1" applyNumberFormat="1" applyFont="1" applyBorder="1" applyAlignment="1">
      <alignment horizontal="center" vertical="center"/>
    </xf>
    <xf numFmtId="2" fontId="2" fillId="3" borderId="18" xfId="1" applyNumberFormat="1" applyFont="1" applyFill="1" applyBorder="1" applyAlignment="1" applyProtection="1">
      <alignment horizontal="center" vertical="center"/>
      <protection locked="0"/>
    </xf>
    <xf numFmtId="2" fontId="2" fillId="3" borderId="18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167" fontId="2" fillId="2" borderId="0" xfId="2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right" wrapText="1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wrapText="1"/>
    </xf>
    <xf numFmtId="0" fontId="2" fillId="0" borderId="18" xfId="0" applyFont="1" applyBorder="1" applyAlignment="1" applyProtection="1">
      <alignment horizontal="left" vertical="top" wrapText="1"/>
      <protection locked="0"/>
    </xf>
    <xf numFmtId="0" fontId="2" fillId="0" borderId="18" xfId="0" applyFont="1" applyBorder="1" applyAlignment="1" applyProtection="1">
      <alignment vertical="top" wrapText="1"/>
      <protection locked="0"/>
    </xf>
    <xf numFmtId="0" fontId="2" fillId="0" borderId="18" xfId="0" quotePrefix="1" applyFont="1" applyBorder="1" applyAlignment="1" applyProtection="1">
      <alignment horizontal="center" vertical="center" wrapText="1"/>
      <protection locked="0"/>
    </xf>
    <xf numFmtId="165" fontId="2" fillId="0" borderId="18" xfId="1" applyFont="1" applyBorder="1" applyAlignment="1" applyProtection="1">
      <alignment horizontal="right" vertical="center"/>
      <protection locked="0"/>
    </xf>
    <xf numFmtId="165" fontId="2" fillId="0" borderId="18" xfId="1" applyFont="1" applyBorder="1" applyAlignment="1" applyProtection="1">
      <alignment vertical="center"/>
      <protection locked="0"/>
    </xf>
    <xf numFmtId="15" fontId="2" fillId="0" borderId="18" xfId="0" applyNumberFormat="1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wrapText="1"/>
      <protection locked="0"/>
    </xf>
    <xf numFmtId="4" fontId="2" fillId="0" borderId="18" xfId="0" applyNumberFormat="1" applyFont="1" applyBorder="1" applyAlignment="1" applyProtection="1">
      <alignment horizontal="right" vertical="center"/>
      <protection locked="0"/>
    </xf>
    <xf numFmtId="0" fontId="2" fillId="0" borderId="18" xfId="0" applyFont="1" applyBorder="1" applyAlignment="1" applyProtection="1">
      <alignment horizontal="left" vertical="center"/>
      <protection locked="0"/>
    </xf>
    <xf numFmtId="0" fontId="2" fillId="0" borderId="18" xfId="0" applyFont="1" applyBorder="1" applyAlignment="1" applyProtection="1">
      <alignment vertical="center" wrapText="1"/>
      <protection locked="0"/>
    </xf>
    <xf numFmtId="49" fontId="2" fillId="0" borderId="18" xfId="1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 wrapText="1"/>
    </xf>
    <xf numFmtId="165" fontId="2" fillId="0" borderId="18" xfId="1" applyFont="1" applyBorder="1" applyAlignment="1">
      <alignment horizontal="right" vertical="center"/>
    </xf>
    <xf numFmtId="166" fontId="2" fillId="0" borderId="18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top" wrapText="1"/>
    </xf>
    <xf numFmtId="49" fontId="4" fillId="0" borderId="18" xfId="1" applyNumberFormat="1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 wrapText="1"/>
    </xf>
    <xf numFmtId="165" fontId="4" fillId="0" borderId="18" xfId="1" applyFont="1" applyBorder="1" applyAlignment="1">
      <alignment horizontal="right" vertical="center" wrapText="1" indent="1"/>
    </xf>
    <xf numFmtId="165" fontId="4" fillId="2" borderId="18" xfId="1" applyFont="1" applyFill="1" applyBorder="1" applyAlignment="1">
      <alignment horizontal="right" vertical="center"/>
    </xf>
    <xf numFmtId="166" fontId="4" fillId="0" borderId="18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/>
    </xf>
    <xf numFmtId="0" fontId="2" fillId="0" borderId="18" xfId="0" applyFont="1" applyBorder="1" applyAlignment="1" applyProtection="1">
      <alignment horizontal="left" vertical="center" wrapText="1"/>
      <protection locked="0"/>
    </xf>
    <xf numFmtId="49" fontId="2" fillId="2" borderId="18" xfId="0" applyNumberFormat="1" applyFont="1" applyFill="1" applyBorder="1" applyAlignment="1">
      <alignment horizontal="center" vertical="center" wrapText="1"/>
    </xf>
    <xf numFmtId="165" fontId="2" fillId="2" borderId="18" xfId="1" applyFont="1" applyFill="1" applyBorder="1" applyAlignment="1">
      <alignment horizontal="right" vertical="center"/>
    </xf>
    <xf numFmtId="49" fontId="4" fillId="0" borderId="0" xfId="1" applyNumberFormat="1" applyFont="1" applyAlignment="1">
      <alignment horizontal="left" vertical="center"/>
    </xf>
    <xf numFmtId="49" fontId="2" fillId="2" borderId="0" xfId="0" applyNumberFormat="1" applyFont="1" applyFill="1" applyAlignment="1">
      <alignment horizontal="center" vertical="center" wrapText="1"/>
    </xf>
    <xf numFmtId="165" fontId="4" fillId="0" borderId="0" xfId="1" applyFont="1" applyAlignment="1" applyProtection="1">
      <alignment horizontal="right" vertical="center" wrapText="1" indent="1"/>
      <protection locked="0"/>
    </xf>
    <xf numFmtId="165" fontId="2" fillId="0" borderId="0" xfId="1" applyFont="1" applyAlignment="1" applyProtection="1">
      <alignment horizontal="right" vertical="center"/>
      <protection locked="0"/>
    </xf>
    <xf numFmtId="16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  <xf numFmtId="17" fontId="2" fillId="0" borderId="18" xfId="0" applyNumberFormat="1" applyFont="1" applyBorder="1" applyAlignment="1" applyProtection="1">
      <alignment horizontal="center" vertical="center" wrapText="1"/>
      <protection locked="0"/>
    </xf>
    <xf numFmtId="17" fontId="2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left" vertical="center" wrapText="1"/>
    </xf>
    <xf numFmtId="166" fontId="2" fillId="0" borderId="18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" fillId="0" borderId="18" xfId="0" applyFont="1" applyBorder="1" applyAlignment="1">
      <alignment horizontal="left" wrapText="1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left" wrapText="1"/>
      <protection locked="0"/>
    </xf>
    <xf numFmtId="17" fontId="2" fillId="0" borderId="18" xfId="0" applyNumberFormat="1" applyFont="1" applyBorder="1" applyAlignment="1" applyProtection="1">
      <alignment horizontal="left" wrapText="1"/>
      <protection locked="0"/>
    </xf>
    <xf numFmtId="14" fontId="2" fillId="0" borderId="18" xfId="0" applyNumberFormat="1" applyFont="1" applyBorder="1" applyAlignment="1" applyProtection="1">
      <alignment horizontal="left" wrapText="1"/>
      <protection locked="0"/>
    </xf>
    <xf numFmtId="0" fontId="7" fillId="0" borderId="0" xfId="0" applyFont="1" applyAlignment="1">
      <alignment horizontal="left" wrapText="1"/>
    </xf>
    <xf numFmtId="166" fontId="7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left" wrapText="1"/>
    </xf>
    <xf numFmtId="0" fontId="4" fillId="9" borderId="18" xfId="0" applyFont="1" applyFill="1" applyBorder="1" applyAlignment="1">
      <alignment horizontal="center" vertical="center" wrapText="1"/>
    </xf>
    <xf numFmtId="0" fontId="4" fillId="9" borderId="18" xfId="0" applyFont="1" applyFill="1" applyBorder="1" applyAlignment="1">
      <alignment horizontal="center" vertical="center"/>
    </xf>
    <xf numFmtId="2" fontId="2" fillId="0" borderId="1" xfId="0" applyNumberFormat="1" applyFont="1" applyBorder="1" applyAlignment="1" applyProtection="1">
      <alignment horizontal="center"/>
      <protection locked="0"/>
    </xf>
    <xf numFmtId="168" fontId="2" fillId="0" borderId="1" xfId="1" applyNumberFormat="1" applyFont="1" applyBorder="1" applyAlignment="1">
      <alignment horizontal="center" vertical="center"/>
    </xf>
    <xf numFmtId="166" fontId="2" fillId="0" borderId="1" xfId="0" applyNumberFormat="1" applyFont="1" applyBorder="1" applyAlignment="1" applyProtection="1">
      <alignment horizontal="center" vertical="top"/>
      <protection locked="0"/>
    </xf>
    <xf numFmtId="0" fontId="4" fillId="9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 applyProtection="1">
      <alignment horizontal="center" vertical="top"/>
      <protection locked="0"/>
    </xf>
    <xf numFmtId="167" fontId="2" fillId="7" borderId="1" xfId="0" applyNumberFormat="1" applyFont="1" applyFill="1" applyBorder="1" applyAlignment="1">
      <alignment horizontal="center" vertical="top"/>
    </xf>
    <xf numFmtId="0" fontId="2" fillId="0" borderId="1" xfId="0" applyFont="1" applyBorder="1" applyAlignment="1">
      <alignment horizontal="left" vertical="center" wrapText="1"/>
    </xf>
    <xf numFmtId="0" fontId="4" fillId="9" borderId="18" xfId="0" applyFont="1" applyFill="1" applyBorder="1" applyAlignment="1" applyProtection="1">
      <alignment horizontal="center" vertical="center" wrapText="1"/>
      <protection locked="0"/>
    </xf>
    <xf numFmtId="0" fontId="4" fillId="9" borderId="18" xfId="0" applyFont="1" applyFill="1" applyBorder="1" applyAlignment="1">
      <alignment horizontal="left" wrapText="1"/>
    </xf>
    <xf numFmtId="0" fontId="4" fillId="9" borderId="18" xfId="0" applyFont="1" applyFill="1" applyBorder="1" applyAlignment="1">
      <alignment horizontal="center" wrapText="1"/>
    </xf>
    <xf numFmtId="166" fontId="4" fillId="0" borderId="0" xfId="0" applyNumberFormat="1" applyFont="1" applyAlignment="1">
      <alignment horizontal="center" vertical="center"/>
    </xf>
    <xf numFmtId="166" fontId="2" fillId="0" borderId="1" xfId="0" applyNumberFormat="1" applyFont="1" applyBorder="1" applyAlignment="1">
      <alignment horizontal="center" vertical="top"/>
    </xf>
    <xf numFmtId="169" fontId="2" fillId="0" borderId="1" xfId="0" applyNumberFormat="1" applyFont="1" applyBorder="1" applyAlignment="1" applyProtection="1">
      <alignment horizontal="right" vertical="top" wrapText="1" indent="1"/>
      <protection locked="0"/>
    </xf>
    <xf numFmtId="169" fontId="2" fillId="0" borderId="1" xfId="0" applyNumberFormat="1" applyFont="1" applyBorder="1" applyAlignment="1">
      <alignment horizontal="right" vertical="top" wrapText="1" indent="1"/>
    </xf>
    <xf numFmtId="169" fontId="4" fillId="0" borderId="1" xfId="0" applyNumberFormat="1" applyFont="1" applyBorder="1" applyAlignment="1">
      <alignment horizontal="right" vertical="center" wrapText="1" indent="1"/>
    </xf>
    <xf numFmtId="9" fontId="4" fillId="0" borderId="1" xfId="2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 wrapText="1" indent="1"/>
    </xf>
    <xf numFmtId="170" fontId="4" fillId="0" borderId="1" xfId="2" applyNumberFormat="1" applyFont="1" applyBorder="1" applyAlignment="1">
      <alignment horizontal="right" vertical="center" wrapText="1" indent="1"/>
    </xf>
    <xf numFmtId="169" fontId="4" fillId="0" borderId="1" xfId="2" applyNumberFormat="1" applyFont="1" applyBorder="1" applyAlignment="1">
      <alignment horizontal="right" vertical="center" wrapText="1" indent="1"/>
    </xf>
    <xf numFmtId="0" fontId="2" fillId="0" borderId="3" xfId="0" quotePrefix="1" applyFont="1" applyBorder="1" applyAlignment="1" applyProtection="1">
      <alignment horizontal="center" vertical="top"/>
      <protection locked="0"/>
    </xf>
    <xf numFmtId="0" fontId="2" fillId="0" borderId="32" xfId="0" quotePrefix="1" applyFont="1" applyBorder="1" applyAlignment="1" applyProtection="1">
      <alignment horizontal="center" vertical="top"/>
      <protection locked="0"/>
    </xf>
    <xf numFmtId="0" fontId="2" fillId="0" borderId="32" xfId="0" quotePrefix="1" applyFont="1" applyBorder="1" applyAlignment="1" applyProtection="1">
      <alignment horizontal="left" vertical="top" wrapText="1"/>
      <protection locked="0"/>
    </xf>
    <xf numFmtId="169" fontId="2" fillId="0" borderId="34" xfId="0" applyNumberFormat="1" applyFont="1" applyBorder="1" applyAlignment="1" applyProtection="1">
      <alignment vertical="top" wrapText="1"/>
      <protection locked="0"/>
    </xf>
    <xf numFmtId="0" fontId="4" fillId="0" borderId="7" xfId="0" applyFont="1" applyBorder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/>
    </xf>
    <xf numFmtId="0" fontId="2" fillId="0" borderId="24" xfId="0" applyFont="1" applyBorder="1" applyAlignment="1" applyProtection="1">
      <alignment horizontal="left" vertical="top"/>
      <protection locked="0"/>
    </xf>
    <xf numFmtId="0" fontId="2" fillId="0" borderId="38" xfId="0" quotePrefix="1" applyFont="1" applyBorder="1" applyAlignment="1">
      <alignment horizontal="left" vertical="top" indent="1"/>
    </xf>
    <xf numFmtId="0" fontId="2" fillId="0" borderId="25" xfId="0" quotePrefix="1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169" fontId="2" fillId="0" borderId="41" xfId="1" applyNumberFormat="1" applyFont="1" applyBorder="1" applyAlignment="1">
      <alignment horizontal="right" vertical="center" wrapText="1"/>
    </xf>
    <xf numFmtId="0" fontId="2" fillId="0" borderId="27" xfId="0" applyFont="1" applyBorder="1" applyAlignment="1" applyProtection="1">
      <alignment horizontal="left" vertical="top"/>
      <protection locked="0"/>
    </xf>
    <xf numFmtId="0" fontId="2" fillId="0" borderId="43" xfId="0" quotePrefix="1" applyFont="1" applyBorder="1" applyAlignment="1">
      <alignment horizontal="left" vertical="top" indent="1"/>
    </xf>
    <xf numFmtId="0" fontId="2" fillId="0" borderId="28" xfId="0" quotePrefix="1" applyFont="1" applyBorder="1" applyAlignment="1">
      <alignment horizontal="left" vertical="center"/>
    </xf>
    <xf numFmtId="0" fontId="2" fillId="0" borderId="28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 wrapText="1"/>
    </xf>
    <xf numFmtId="169" fontId="2" fillId="0" borderId="46" xfId="1" applyNumberFormat="1" applyFont="1" applyBorder="1" applyAlignment="1">
      <alignment horizontal="right" vertical="center" wrapText="1"/>
    </xf>
    <xf numFmtId="0" fontId="2" fillId="0" borderId="29" xfId="0" applyFont="1" applyBorder="1" applyAlignment="1" applyProtection="1">
      <alignment horizontal="left" vertical="top"/>
      <protection locked="0"/>
    </xf>
    <xf numFmtId="0" fontId="2" fillId="0" borderId="48" xfId="0" quotePrefix="1" applyFont="1" applyBorder="1" applyAlignment="1">
      <alignment horizontal="left" vertical="top" indent="1"/>
    </xf>
    <xf numFmtId="0" fontId="2" fillId="0" borderId="30" xfId="0" quotePrefix="1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 wrapText="1"/>
    </xf>
    <xf numFmtId="169" fontId="2" fillId="0" borderId="37" xfId="1" applyNumberFormat="1" applyFont="1" applyBorder="1" applyAlignment="1">
      <alignment horizontal="right" vertical="center" wrapText="1"/>
    </xf>
    <xf numFmtId="0" fontId="4" fillId="0" borderId="22" xfId="0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/>
    </xf>
    <xf numFmtId="171" fontId="4" fillId="0" borderId="1" xfId="0" applyNumberFormat="1" applyFont="1" applyBorder="1" applyAlignment="1">
      <alignment horizontal="right" vertical="center" wrapText="1" indent="1"/>
    </xf>
    <xf numFmtId="0" fontId="2" fillId="0" borderId="57" xfId="0" applyFont="1" applyBorder="1" applyAlignment="1">
      <alignment horizontal="right" wrapText="1"/>
    </xf>
    <xf numFmtId="0" fontId="12" fillId="0" borderId="0" xfId="0" applyFont="1"/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2" fillId="0" borderId="0" xfId="0" applyFont="1" applyProtection="1">
      <protection locked="0"/>
    </xf>
    <xf numFmtId="172" fontId="12" fillId="0" borderId="0" xfId="0" applyNumberFormat="1" applyFont="1" applyAlignment="1">
      <alignment horizontal="center"/>
    </xf>
    <xf numFmtId="0" fontId="15" fillId="0" borderId="0" xfId="0" applyFont="1"/>
    <xf numFmtId="0" fontId="12" fillId="0" borderId="17" xfId="0" applyFont="1" applyBorder="1"/>
    <xf numFmtId="0" fontId="12" fillId="0" borderId="58" xfId="0" applyFont="1" applyBorder="1"/>
    <xf numFmtId="0" fontId="12" fillId="0" borderId="8" xfId="0" applyFont="1" applyBorder="1"/>
    <xf numFmtId="0" fontId="12" fillId="0" borderId="7" xfId="0" applyFont="1" applyBorder="1"/>
    <xf numFmtId="0" fontId="12" fillId="0" borderId="58" xfId="0" applyFont="1" applyBorder="1" applyAlignment="1">
      <alignment horizontal="center" vertical="top" wrapText="1"/>
    </xf>
    <xf numFmtId="0" fontId="16" fillId="0" borderId="59" xfId="0" applyFont="1" applyBorder="1" applyAlignment="1">
      <alignment horizontal="center" vertical="top" wrapText="1"/>
    </xf>
    <xf numFmtId="0" fontId="13" fillId="17" borderId="29" xfId="0" applyFont="1" applyFill="1" applyBorder="1" applyAlignment="1">
      <alignment horizontal="center" vertical="center" wrapText="1"/>
    </xf>
    <xf numFmtId="0" fontId="13" fillId="17" borderId="27" xfId="0" applyFont="1" applyFill="1" applyBorder="1" applyAlignment="1">
      <alignment horizontal="center" vertical="center" wrapText="1"/>
    </xf>
    <xf numFmtId="0" fontId="13" fillId="17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7" fillId="11" borderId="4" xfId="0" applyFont="1" applyFill="1" applyBorder="1" applyAlignment="1">
      <alignment horizontal="center" vertical="top" wrapText="1"/>
    </xf>
    <xf numFmtId="0" fontId="17" fillId="9" borderId="62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20" fillId="0" borderId="0" xfId="0" applyFont="1"/>
    <xf numFmtId="0" fontId="12" fillId="16" borderId="0" xfId="0" applyFont="1" applyFill="1" applyAlignment="1">
      <alignment wrapText="1"/>
    </xf>
    <xf numFmtId="0" fontId="14" fillId="16" borderId="0" xfId="0" applyFont="1" applyFill="1" applyAlignment="1">
      <alignment wrapText="1"/>
    </xf>
    <xf numFmtId="0" fontId="14" fillId="18" borderId="0" xfId="0" applyFont="1" applyFill="1" applyAlignment="1">
      <alignment wrapText="1"/>
    </xf>
    <xf numFmtId="0" fontId="17" fillId="19" borderId="0" xfId="0" applyFont="1" applyFill="1" applyAlignment="1">
      <alignment horizontal="center" vertical="center" wrapText="1"/>
    </xf>
    <xf numFmtId="0" fontId="12" fillId="0" borderId="0" xfId="0" applyFont="1" applyAlignment="1">
      <alignment wrapText="1"/>
    </xf>
    <xf numFmtId="9" fontId="2" fillId="0" borderId="1" xfId="2" applyFont="1" applyBorder="1" applyAlignment="1">
      <alignment horizontal="center" vertical="top" wrapText="1"/>
    </xf>
    <xf numFmtId="169" fontId="2" fillId="0" borderId="1" xfId="3" applyNumberFormat="1" applyFont="1" applyFill="1" applyBorder="1" applyAlignment="1">
      <alignment horizontal="right" vertical="top" wrapText="1" indent="1"/>
    </xf>
    <xf numFmtId="0" fontId="2" fillId="0" borderId="18" xfId="0" applyFont="1" applyBorder="1" applyAlignment="1" applyProtection="1">
      <alignment vertical="center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165" fontId="4" fillId="0" borderId="0" xfId="1" applyFont="1" applyAlignment="1">
      <alignment horizontal="left" vertical="center" wrapText="1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" fillId="0" borderId="40" xfId="0" applyFont="1" applyBorder="1" applyAlignment="1" applyProtection="1">
      <alignment horizontal="center" vertical="top" wrapText="1"/>
      <protection locked="0"/>
    </xf>
    <xf numFmtId="9" fontId="2" fillId="0" borderId="40" xfId="0" applyNumberFormat="1" applyFont="1" applyBorder="1" applyAlignment="1" applyProtection="1">
      <alignment horizontal="center" vertical="top" wrapText="1"/>
      <protection locked="0"/>
    </xf>
    <xf numFmtId="9" fontId="2" fillId="0" borderId="40" xfId="0" applyNumberFormat="1" applyFont="1" applyBorder="1" applyAlignment="1" applyProtection="1">
      <alignment horizontal="left" vertical="top" wrapText="1"/>
      <protection locked="0"/>
    </xf>
    <xf numFmtId="4" fontId="2" fillId="0" borderId="41" xfId="0" applyNumberFormat="1" applyFont="1" applyBorder="1" applyAlignment="1">
      <alignment horizontal="center" vertical="top" wrapText="1"/>
    </xf>
    <xf numFmtId="0" fontId="2" fillId="0" borderId="37" xfId="0" applyFont="1" applyBorder="1" applyAlignment="1" applyProtection="1">
      <alignment horizontal="center" vertical="top" wrapText="1"/>
      <protection locked="0"/>
    </xf>
    <xf numFmtId="9" fontId="2" fillId="0" borderId="37" xfId="0" applyNumberFormat="1" applyFont="1" applyBorder="1" applyAlignment="1" applyProtection="1">
      <alignment horizontal="center" vertical="top" wrapText="1"/>
      <protection locked="0"/>
    </xf>
    <xf numFmtId="9" fontId="2" fillId="0" borderId="37" xfId="0" applyNumberFormat="1" applyFont="1" applyBorder="1" applyAlignment="1" applyProtection="1">
      <alignment horizontal="left" vertical="top" wrapText="1"/>
      <protection locked="0"/>
    </xf>
    <xf numFmtId="0" fontId="2" fillId="0" borderId="32" xfId="0" applyFont="1" applyBorder="1" applyAlignment="1" applyProtection="1">
      <alignment horizontal="center" vertical="top" wrapText="1"/>
      <protection locked="0"/>
    </xf>
    <xf numFmtId="9" fontId="2" fillId="0" borderId="32" xfId="0" applyNumberFormat="1" applyFont="1" applyBorder="1" applyAlignment="1" applyProtection="1">
      <alignment horizontal="center" vertical="top" wrapText="1"/>
      <protection locked="0"/>
    </xf>
    <xf numFmtId="9" fontId="2" fillId="0" borderId="32" xfId="0" applyNumberFormat="1" applyFont="1" applyBorder="1" applyAlignment="1" applyProtection="1">
      <alignment horizontal="left" vertical="top" wrapText="1"/>
      <protection locked="0"/>
    </xf>
    <xf numFmtId="4" fontId="2" fillId="0" borderId="32" xfId="0" applyNumberFormat="1" applyFont="1" applyBorder="1" applyAlignment="1">
      <alignment horizontal="center" vertical="top" wrapText="1"/>
    </xf>
    <xf numFmtId="0" fontId="2" fillId="0" borderId="41" xfId="0" applyFont="1" applyBorder="1" applyAlignment="1" applyProtection="1">
      <alignment horizontal="center" vertical="top" wrapText="1"/>
      <protection locked="0"/>
    </xf>
    <xf numFmtId="9" fontId="2" fillId="0" borderId="41" xfId="0" applyNumberFormat="1" applyFont="1" applyBorder="1" applyAlignment="1" applyProtection="1">
      <alignment horizontal="center" vertical="top" wrapText="1"/>
      <protection locked="0"/>
    </xf>
    <xf numFmtId="9" fontId="2" fillId="0" borderId="41" xfId="0" applyNumberFormat="1" applyFont="1" applyBorder="1" applyAlignment="1" applyProtection="1">
      <alignment horizontal="left" vertical="top" wrapText="1"/>
      <protection locked="0"/>
    </xf>
    <xf numFmtId="0" fontId="2" fillId="0" borderId="46" xfId="0" applyFont="1" applyBorder="1" applyAlignment="1" applyProtection="1">
      <alignment horizontal="center" vertical="top" wrapText="1"/>
      <protection locked="0"/>
    </xf>
    <xf numFmtId="9" fontId="2" fillId="0" borderId="46" xfId="0" applyNumberFormat="1" applyFont="1" applyBorder="1" applyAlignment="1" applyProtection="1">
      <alignment horizontal="center" vertical="top" wrapText="1"/>
      <protection locked="0"/>
    </xf>
    <xf numFmtId="9" fontId="2" fillId="0" borderId="46" xfId="0" applyNumberFormat="1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center" wrapText="1"/>
    </xf>
    <xf numFmtId="0" fontId="2" fillId="0" borderId="3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center" vertical="top" wrapText="1"/>
      <protection locked="0"/>
    </xf>
    <xf numFmtId="9" fontId="2" fillId="0" borderId="6" xfId="0" applyNumberFormat="1" applyFont="1" applyBorder="1" applyAlignment="1" applyProtection="1">
      <alignment horizontal="center" vertical="top" wrapText="1"/>
      <protection locked="0"/>
    </xf>
    <xf numFmtId="9" fontId="2" fillId="0" borderId="6" xfId="0" applyNumberFormat="1" applyFont="1" applyBorder="1" applyAlignment="1" applyProtection="1">
      <alignment horizontal="left" vertical="top" wrapText="1"/>
      <protection locked="0"/>
    </xf>
    <xf numFmtId="4" fontId="2" fillId="0" borderId="6" xfId="0" applyNumberFormat="1" applyFont="1" applyBorder="1" applyAlignment="1">
      <alignment horizontal="center" vertical="top" wrapText="1"/>
    </xf>
    <xf numFmtId="0" fontId="2" fillId="0" borderId="4" xfId="0" applyFont="1" applyBorder="1" applyAlignment="1" applyProtection="1">
      <alignment horizontal="left" vertical="top" wrapText="1"/>
      <protection locked="0"/>
    </xf>
    <xf numFmtId="9" fontId="2" fillId="0" borderId="6" xfId="0" applyNumberFormat="1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2" fillId="0" borderId="5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1" fillId="0" borderId="1" xfId="0" applyFont="1" applyBorder="1" applyAlignment="1">
      <alignment horizontal="center" vertical="top" wrapText="1"/>
    </xf>
    <xf numFmtId="0" fontId="4" fillId="0" borderId="58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2" fillId="0" borderId="5" xfId="0" applyFont="1" applyBorder="1" applyAlignment="1" applyProtection="1">
      <alignment horizontal="left" wrapText="1"/>
      <protection locked="0"/>
    </xf>
    <xf numFmtId="0" fontId="2" fillId="0" borderId="17" xfId="0" applyFont="1" applyBorder="1" applyAlignment="1" applyProtection="1">
      <alignment horizontal="left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1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/>
    <xf numFmtId="0" fontId="11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0" xfId="0" applyFont="1" applyAlignment="1">
      <alignment horizontal="left"/>
    </xf>
    <xf numFmtId="0" fontId="21" fillId="4" borderId="1" xfId="0" applyFont="1" applyFill="1" applyBorder="1" applyAlignment="1">
      <alignment horizontal="left"/>
    </xf>
    <xf numFmtId="0" fontId="21" fillId="4" borderId="1" xfId="0" applyFont="1" applyFill="1" applyBorder="1" applyAlignment="1">
      <alignment horizont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1" fillId="0" borderId="9" xfId="0" applyFont="1" applyBorder="1" applyAlignment="1">
      <alignment horizontal="left"/>
    </xf>
    <xf numFmtId="0" fontId="21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3" xfId="0" applyFont="1" applyBorder="1" applyAlignment="1">
      <alignment horizontal="left"/>
    </xf>
    <xf numFmtId="0" fontId="21" fillId="0" borderId="13" xfId="0" applyFont="1" applyBorder="1"/>
    <xf numFmtId="0" fontId="21" fillId="0" borderId="12" xfId="0" applyFont="1" applyBorder="1" applyAlignment="1">
      <alignment horizontal="left" vertical="top"/>
    </xf>
    <xf numFmtId="0" fontId="21" fillId="0" borderId="14" xfId="0" applyFont="1" applyBorder="1" applyAlignment="1">
      <alignment horizontal="left"/>
    </xf>
    <xf numFmtId="0" fontId="21" fillId="0" borderId="15" xfId="0" applyFont="1" applyBorder="1" applyAlignment="1">
      <alignment horizontal="center"/>
    </xf>
    <xf numFmtId="0" fontId="21" fillId="0" borderId="15" xfId="0" applyFont="1" applyBorder="1"/>
    <xf numFmtId="0" fontId="21" fillId="0" borderId="16" xfId="0" applyFont="1" applyBorder="1"/>
    <xf numFmtId="0" fontId="21" fillId="0" borderId="31" xfId="0" applyFont="1" applyBorder="1" applyAlignment="1">
      <alignment horizontal="center" vertical="top" wrapText="1"/>
    </xf>
    <xf numFmtId="0" fontId="21" fillId="0" borderId="55" xfId="0" applyFont="1" applyBorder="1" applyAlignment="1">
      <alignment horizontal="center" vertical="top" wrapText="1"/>
    </xf>
    <xf numFmtId="0" fontId="21" fillId="0" borderId="2" xfId="0" applyFont="1" applyBorder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" fillId="0" borderId="56" xfId="0" applyFont="1" applyBorder="1" applyAlignment="1" applyProtection="1">
      <alignment horizontal="right" vertical="center" wrapText="1"/>
      <protection locked="0"/>
    </xf>
    <xf numFmtId="0" fontId="2" fillId="0" borderId="57" xfId="0" applyFont="1" applyBorder="1" applyAlignment="1" applyProtection="1">
      <alignment horizontal="right" vertical="center" wrapText="1"/>
      <protection locked="0"/>
    </xf>
    <xf numFmtId="169" fontId="2" fillId="0" borderId="32" xfId="0" applyNumberFormat="1" applyFont="1" applyBorder="1" applyAlignment="1" applyProtection="1">
      <alignment horizontal="right" vertical="top"/>
      <protection locked="0"/>
    </xf>
    <xf numFmtId="9" fontId="2" fillId="0" borderId="33" xfId="2" applyFont="1" applyBorder="1" applyAlignment="1">
      <alignment horizontal="center" vertical="top" wrapText="1"/>
    </xf>
    <xf numFmtId="1" fontId="2" fillId="14" borderId="33" xfId="2" applyNumberFormat="1" applyFont="1" applyFill="1" applyBorder="1" applyAlignment="1" applyProtection="1">
      <alignment horizontal="center" vertical="top" wrapText="1"/>
      <protection locked="0"/>
    </xf>
    <xf numFmtId="169" fontId="6" fillId="0" borderId="56" xfId="0" applyNumberFormat="1" applyFont="1" applyBorder="1" applyAlignment="1" applyProtection="1">
      <alignment horizontal="right" vertical="top" wrapText="1"/>
      <protection locked="0"/>
    </xf>
    <xf numFmtId="169" fontId="6" fillId="0" borderId="57" xfId="0" applyNumberFormat="1" applyFont="1" applyBorder="1" applyAlignment="1" applyProtection="1">
      <alignment horizontal="right" vertical="top" wrapText="1"/>
      <protection locked="0"/>
    </xf>
    <xf numFmtId="0" fontId="2" fillId="2" borderId="6" xfId="0" quotePrefix="1" applyFont="1" applyFill="1" applyBorder="1" applyAlignment="1" applyProtection="1">
      <alignment horizontal="center" vertical="top"/>
      <protection locked="0"/>
    </xf>
    <xf numFmtId="0" fontId="2" fillId="2" borderId="6" xfId="0" applyFont="1" applyFill="1" applyBorder="1" applyAlignment="1" applyProtection="1">
      <alignment vertical="top" wrapText="1"/>
      <protection locked="0"/>
    </xf>
    <xf numFmtId="0" fontId="2" fillId="2" borderId="6" xfId="0" quotePrefix="1" applyFont="1" applyFill="1" applyBorder="1" applyAlignment="1" applyProtection="1">
      <alignment horizontal="center" vertical="top" wrapText="1"/>
      <protection locked="0"/>
    </xf>
    <xf numFmtId="0" fontId="2" fillId="2" borderId="34" xfId="0" applyFont="1" applyFill="1" applyBorder="1" applyAlignment="1" applyProtection="1">
      <alignment vertical="top" wrapText="1"/>
      <protection locked="0"/>
    </xf>
    <xf numFmtId="9" fontId="2" fillId="2" borderId="6" xfId="2" applyFont="1" applyFill="1" applyBorder="1" applyAlignment="1">
      <alignment horizontal="center" vertical="top" wrapText="1"/>
    </xf>
    <xf numFmtId="9" fontId="2" fillId="2" borderId="22" xfId="2" applyFont="1" applyFill="1" applyBorder="1" applyAlignment="1" applyProtection="1">
      <alignment horizontal="center" vertical="top" wrapText="1"/>
      <protection locked="0"/>
    </xf>
    <xf numFmtId="9" fontId="2" fillId="2" borderId="22" xfId="2" applyFont="1" applyFill="1" applyBorder="1" applyAlignment="1" applyProtection="1">
      <alignment horizontal="left" vertical="top" wrapText="1"/>
      <protection locked="0"/>
    </xf>
    <xf numFmtId="169" fontId="4" fillId="0" borderId="37" xfId="0" applyNumberFormat="1" applyFont="1" applyBorder="1" applyAlignment="1">
      <alignment horizontal="right" vertical="center" wrapText="1"/>
    </xf>
    <xf numFmtId="9" fontId="4" fillId="0" borderId="8" xfId="2" applyFont="1" applyBorder="1" applyAlignment="1">
      <alignment horizontal="center" vertical="center" wrapText="1"/>
    </xf>
    <xf numFmtId="9" fontId="4" fillId="0" borderId="1" xfId="2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right" vertical="center" wrapText="1"/>
    </xf>
    <xf numFmtId="9" fontId="4" fillId="0" borderId="0" xfId="2" applyFont="1" applyAlignment="1">
      <alignment horizontal="center" vertical="center" wrapText="1"/>
    </xf>
    <xf numFmtId="169" fontId="2" fillId="14" borderId="41" xfId="0" applyNumberFormat="1" applyFont="1" applyFill="1" applyBorder="1" applyAlignment="1" applyProtection="1">
      <alignment horizontal="right" vertical="center"/>
      <protection locked="0"/>
    </xf>
    <xf numFmtId="169" fontId="2" fillId="14" borderId="41" xfId="0" applyNumberFormat="1" applyFont="1" applyFill="1" applyBorder="1" applyAlignment="1" applyProtection="1">
      <alignment horizontal="right" vertical="center" wrapText="1"/>
      <protection locked="0"/>
    </xf>
    <xf numFmtId="9" fontId="2" fillId="0" borderId="23" xfId="2" applyFont="1" applyBorder="1" applyAlignment="1">
      <alignment horizontal="center" vertical="center" wrapText="1"/>
    </xf>
    <xf numFmtId="9" fontId="2" fillId="0" borderId="42" xfId="2" applyFont="1" applyBorder="1" applyAlignment="1">
      <alignment horizontal="center" vertical="top" wrapText="1"/>
    </xf>
    <xf numFmtId="9" fontId="2" fillId="0" borderId="0" xfId="2" applyFont="1" applyAlignment="1">
      <alignment horizontal="center" vertical="center" wrapText="1"/>
    </xf>
    <xf numFmtId="9" fontId="2" fillId="0" borderId="0" xfId="2" applyFont="1" applyAlignment="1">
      <alignment horizontal="left" vertical="center" wrapText="1"/>
    </xf>
    <xf numFmtId="169" fontId="2" fillId="14" borderId="46" xfId="0" applyNumberFormat="1" applyFont="1" applyFill="1" applyBorder="1" applyAlignment="1" applyProtection="1">
      <alignment horizontal="right" vertical="center"/>
      <protection locked="0"/>
    </xf>
    <xf numFmtId="169" fontId="2" fillId="14" borderId="46" xfId="0" applyNumberFormat="1" applyFont="1" applyFill="1" applyBorder="1" applyAlignment="1" applyProtection="1">
      <alignment horizontal="right" vertical="center" wrapText="1"/>
      <protection locked="0"/>
    </xf>
    <xf numFmtId="9" fontId="2" fillId="0" borderId="44" xfId="2" applyFont="1" applyBorder="1" applyAlignment="1">
      <alignment horizontal="center" vertical="center" wrapText="1"/>
    </xf>
    <xf numFmtId="9" fontId="2" fillId="0" borderId="47" xfId="2" applyFont="1" applyBorder="1" applyAlignment="1">
      <alignment horizontal="center" vertical="top" wrapText="1"/>
    </xf>
    <xf numFmtId="169" fontId="2" fillId="14" borderId="37" xfId="0" applyNumberFormat="1" applyFont="1" applyFill="1" applyBorder="1" applyAlignment="1" applyProtection="1">
      <alignment horizontal="right" vertical="center"/>
      <protection locked="0"/>
    </xf>
    <xf numFmtId="169" fontId="2" fillId="14" borderId="37" xfId="0" applyNumberFormat="1" applyFont="1" applyFill="1" applyBorder="1" applyAlignment="1" applyProtection="1">
      <alignment horizontal="right" vertical="center" wrapText="1"/>
      <protection locked="0"/>
    </xf>
    <xf numFmtId="9" fontId="2" fillId="0" borderId="17" xfId="2" applyFont="1" applyBorder="1" applyAlignment="1">
      <alignment horizontal="center" vertical="center" wrapText="1"/>
    </xf>
    <xf numFmtId="9" fontId="2" fillId="0" borderId="52" xfId="2" applyFont="1" applyBorder="1" applyAlignment="1">
      <alignment horizontal="center" vertical="top" wrapText="1"/>
    </xf>
    <xf numFmtId="169" fontId="4" fillId="0" borderId="34" xfId="0" applyNumberFormat="1" applyFont="1" applyBorder="1" applyAlignment="1">
      <alignment horizontal="right" vertical="center" wrapText="1"/>
    </xf>
    <xf numFmtId="169" fontId="4" fillId="0" borderId="32" xfId="0" applyNumberFormat="1" applyFont="1" applyBorder="1" applyAlignment="1">
      <alignment horizontal="right" vertical="center" wrapText="1"/>
    </xf>
    <xf numFmtId="9" fontId="2" fillId="0" borderId="4" xfId="2" applyFont="1" applyBorder="1" applyAlignment="1">
      <alignment horizontal="center" vertical="center" wrapText="1"/>
    </xf>
    <xf numFmtId="169" fontId="4" fillId="0" borderId="0" xfId="0" applyNumberFormat="1" applyFont="1" applyAlignment="1">
      <alignment horizontal="right" vertical="center" wrapText="1"/>
    </xf>
    <xf numFmtId="0" fontId="3" fillId="0" borderId="0" xfId="0" applyFont="1"/>
    <xf numFmtId="4" fontId="4" fillId="0" borderId="0" xfId="0" applyNumberFormat="1" applyFont="1"/>
    <xf numFmtId="0" fontId="9" fillId="0" borderId="0" xfId="0" quotePrefix="1" applyFont="1" applyAlignment="1">
      <alignment horizontal="left" vertical="center" indent="1"/>
    </xf>
    <xf numFmtId="0" fontId="9" fillId="0" borderId="5" xfId="0" quotePrefix="1" applyFont="1" applyBorder="1" applyAlignment="1">
      <alignment horizontal="left" vertical="center" indent="1"/>
    </xf>
    <xf numFmtId="0" fontId="2" fillId="0" borderId="18" xfId="0" quotePrefix="1" applyFont="1" applyBorder="1" applyAlignment="1" applyProtection="1">
      <alignment horizontal="center" vertical="center"/>
      <protection locked="0"/>
    </xf>
    <xf numFmtId="49" fontId="2" fillId="0" borderId="18" xfId="1" applyNumberFormat="1" applyFont="1" applyBorder="1" applyAlignment="1" applyProtection="1">
      <alignment horizontal="center" vertical="center"/>
      <protection locked="0"/>
    </xf>
    <xf numFmtId="166" fontId="2" fillId="0" borderId="18" xfId="0" applyNumberFormat="1" applyFont="1" applyBorder="1" applyAlignment="1" applyProtection="1">
      <alignment horizontal="center" vertical="center" wrapText="1"/>
      <protection locked="0"/>
    </xf>
    <xf numFmtId="0" fontId="11" fillId="9" borderId="1" xfId="0" applyFont="1" applyFill="1" applyBorder="1" applyAlignment="1">
      <alignment horizontal="center" vertical="center" wrapText="1"/>
    </xf>
    <xf numFmtId="0" fontId="25" fillId="2" borderId="6" xfId="0" quotePrefix="1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 wrapText="1"/>
    </xf>
    <xf numFmtId="0" fontId="2" fillId="3" borderId="72" xfId="0" applyFont="1" applyFill="1" applyBorder="1" applyAlignment="1">
      <alignment horizontal="right" wrapText="1"/>
    </xf>
    <xf numFmtId="10" fontId="2" fillId="7" borderId="72" xfId="0" applyNumberFormat="1" applyFont="1" applyFill="1" applyBorder="1" applyAlignment="1">
      <alignment horizontal="right" vertical="top"/>
    </xf>
    <xf numFmtId="10" fontId="2" fillId="3" borderId="72" xfId="0" applyNumberFormat="1" applyFont="1" applyFill="1" applyBorder="1" applyAlignment="1">
      <alignment horizontal="right" wrapText="1"/>
    </xf>
    <xf numFmtId="10" fontId="2" fillId="7" borderId="72" xfId="0" applyNumberFormat="1" applyFont="1" applyFill="1" applyBorder="1" applyAlignment="1">
      <alignment horizontal="right" wrapText="1"/>
    </xf>
    <xf numFmtId="0" fontId="5" fillId="5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3" fillId="0" borderId="5" xfId="0" applyFont="1" applyBorder="1" applyAlignment="1">
      <alignment wrapText="1"/>
    </xf>
    <xf numFmtId="4" fontId="2" fillId="0" borderId="18" xfId="0" applyNumberFormat="1" applyFont="1" applyBorder="1" applyAlignment="1" applyProtection="1">
      <alignment vertical="center"/>
      <protection locked="0"/>
    </xf>
    <xf numFmtId="15" fontId="2" fillId="0" borderId="18" xfId="0" applyNumberFormat="1" applyFont="1" applyBorder="1" applyAlignment="1" applyProtection="1">
      <alignment horizontal="right" vertical="center" wrapText="1"/>
      <protection locked="0"/>
    </xf>
    <xf numFmtId="49" fontId="2" fillId="0" borderId="18" xfId="1" applyNumberFormat="1" applyFont="1" applyBorder="1" applyAlignment="1" applyProtection="1">
      <alignment horizontal="left" vertical="center"/>
      <protection locked="0"/>
    </xf>
    <xf numFmtId="49" fontId="2" fillId="0" borderId="18" xfId="0" applyNumberFormat="1" applyFont="1" applyBorder="1" applyAlignment="1" applyProtection="1">
      <alignment horizontal="center" vertical="center" wrapText="1"/>
      <protection locked="0"/>
    </xf>
    <xf numFmtId="165" fontId="4" fillId="0" borderId="18" xfId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19" xfId="0" applyFont="1" applyBorder="1" applyAlignment="1">
      <alignment vertical="center"/>
    </xf>
    <xf numFmtId="0" fontId="2" fillId="12" borderId="0" xfId="0" applyFont="1" applyFill="1" applyAlignment="1">
      <alignment vertical="center"/>
    </xf>
    <xf numFmtId="0" fontId="2" fillId="11" borderId="20" xfId="0" applyFont="1" applyFill="1" applyBorder="1" applyAlignment="1">
      <alignment horizontal="center" vertical="center" wrapText="1"/>
    </xf>
    <xf numFmtId="1" fontId="2" fillId="12" borderId="20" xfId="0" applyNumberFormat="1" applyFont="1" applyFill="1" applyBorder="1" applyAlignment="1">
      <alignment horizontal="center" vertical="center" wrapText="1"/>
    </xf>
    <xf numFmtId="0" fontId="2" fillId="12" borderId="20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10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2" fillId="13" borderId="19" xfId="0" applyFont="1" applyFill="1" applyBorder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0" borderId="18" xfId="0" applyFont="1" applyBorder="1" applyAlignment="1" applyProtection="1">
      <alignment horizontal="left" vertical="center" wrapText="1"/>
      <protection locked="0"/>
    </xf>
    <xf numFmtId="0" fontId="2" fillId="0" borderId="18" xfId="0" applyFont="1" applyBorder="1" applyAlignment="1" applyProtection="1">
      <alignment horizontal="left" vertical="top" wrapText="1"/>
      <protection locked="0"/>
    </xf>
    <xf numFmtId="0" fontId="2" fillId="0" borderId="18" xfId="0" applyFont="1" applyBorder="1" applyProtection="1">
      <protection locked="0"/>
    </xf>
    <xf numFmtId="49" fontId="2" fillId="0" borderId="18" xfId="1" applyNumberFormat="1" applyFont="1" applyBorder="1" applyAlignment="1" applyProtection="1">
      <alignment horizontal="left" vertical="top"/>
      <protection locked="0"/>
    </xf>
    <xf numFmtId="0" fontId="2" fillId="0" borderId="18" xfId="0" applyFont="1" applyBorder="1" applyAlignment="1" applyProtection="1">
      <alignment vertical="center"/>
      <protection locked="0"/>
    </xf>
    <xf numFmtId="0" fontId="2" fillId="0" borderId="0" xfId="0" applyFont="1" applyAlignment="1">
      <alignment horizontal="left" wrapText="1"/>
    </xf>
    <xf numFmtId="0" fontId="4" fillId="9" borderId="18" xfId="0" applyFont="1" applyFill="1" applyBorder="1" applyAlignment="1">
      <alignment horizontal="center" vertical="center"/>
    </xf>
    <xf numFmtId="0" fontId="2" fillId="9" borderId="18" xfId="0" applyFont="1" applyFill="1" applyBorder="1"/>
    <xf numFmtId="0" fontId="5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2" fillId="0" borderId="18" xfId="0" applyFont="1" applyBorder="1" applyAlignment="1" applyProtection="1">
      <alignment horizontal="center" wrapText="1"/>
      <protection locked="0"/>
    </xf>
    <xf numFmtId="0" fontId="4" fillId="9" borderId="18" xfId="0" applyFont="1" applyFill="1" applyBorder="1" applyAlignment="1">
      <alignment horizontal="left" vertical="center" wrapText="1"/>
    </xf>
    <xf numFmtId="2" fontId="4" fillId="0" borderId="18" xfId="0" applyNumberFormat="1" applyFont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Protection="1">
      <protection locked="0"/>
    </xf>
    <xf numFmtId="49" fontId="4" fillId="0" borderId="18" xfId="1" applyNumberFormat="1" applyFont="1" applyBorder="1" applyAlignment="1">
      <alignment horizontal="center" vertical="center"/>
    </xf>
    <xf numFmtId="2" fontId="4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1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left" vertical="top" wrapText="1"/>
    </xf>
    <xf numFmtId="0" fontId="2" fillId="0" borderId="18" xfId="0" applyFont="1" applyBorder="1"/>
    <xf numFmtId="0" fontId="2" fillId="0" borderId="18" xfId="0" applyFont="1" applyBorder="1" applyAlignment="1">
      <alignment horizontal="center" vertical="center" wrapText="1"/>
    </xf>
    <xf numFmtId="49" fontId="2" fillId="0" borderId="18" xfId="1" applyNumberFormat="1" applyFont="1" applyBorder="1" applyAlignment="1" applyProtection="1">
      <alignment horizontal="center" vertical="top"/>
      <protection locked="0"/>
    </xf>
    <xf numFmtId="0" fontId="2" fillId="0" borderId="18" xfId="0" applyFont="1" applyBorder="1" applyAlignment="1" applyProtection="1">
      <alignment horizontal="left" vertical="top"/>
      <protection locked="0"/>
    </xf>
    <xf numFmtId="49" fontId="2" fillId="0" borderId="18" xfId="1" applyNumberFormat="1" applyFont="1" applyBorder="1" applyAlignment="1">
      <alignment horizontal="left" vertical="top"/>
    </xf>
    <xf numFmtId="165" fontId="2" fillId="0" borderId="18" xfId="1" applyFont="1" applyBorder="1" applyAlignment="1" applyProtection="1">
      <alignment horizontal="center" vertical="top" wrapText="1"/>
      <protection locked="0"/>
    </xf>
    <xf numFmtId="0" fontId="2" fillId="0" borderId="18" xfId="0" applyFont="1" applyBorder="1" applyAlignment="1" applyProtection="1">
      <alignment horizontal="center" vertical="top" wrapText="1"/>
      <protection locked="0"/>
    </xf>
    <xf numFmtId="0" fontId="2" fillId="0" borderId="18" xfId="0" applyFont="1" applyBorder="1" applyAlignment="1" applyProtection="1">
      <alignment vertical="top"/>
      <protection locked="0"/>
    </xf>
    <xf numFmtId="0" fontId="2" fillId="0" borderId="18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Alignment="1" applyProtection="1">
      <alignment horizontal="center" vertical="center"/>
      <protection locked="0"/>
    </xf>
    <xf numFmtId="0" fontId="7" fillId="0" borderId="18" xfId="0" applyFont="1" applyBorder="1" applyProtection="1"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33" xfId="0" applyFont="1" applyBorder="1" applyAlignment="1" applyProtection="1">
      <alignment vertical="top" wrapText="1"/>
      <protection locked="0"/>
    </xf>
    <xf numFmtId="0" fontId="2" fillId="0" borderId="34" xfId="0" applyFont="1" applyBorder="1" applyAlignment="1" applyProtection="1">
      <alignment vertical="top" wrapText="1"/>
      <protection locked="0"/>
    </xf>
    <xf numFmtId="165" fontId="2" fillId="0" borderId="39" xfId="1" applyFont="1" applyBorder="1" applyAlignment="1" applyProtection="1">
      <alignment horizontal="left" vertical="center" wrapText="1"/>
      <protection locked="0"/>
    </xf>
    <xf numFmtId="165" fontId="2" fillId="0" borderId="40" xfId="1" applyFont="1" applyBorder="1" applyAlignment="1" applyProtection="1">
      <alignment horizontal="left" vertical="center" wrapText="1"/>
      <protection locked="0"/>
    </xf>
    <xf numFmtId="165" fontId="2" fillId="0" borderId="45" xfId="1" applyFont="1" applyBorder="1" applyAlignment="1" applyProtection="1">
      <alignment horizontal="left" vertical="center" wrapText="1"/>
      <protection locked="0"/>
    </xf>
    <xf numFmtId="165" fontId="2" fillId="0" borderId="46" xfId="1" applyFont="1" applyBorder="1" applyAlignment="1" applyProtection="1">
      <alignment horizontal="left" vertical="center" wrapText="1"/>
      <protection locked="0"/>
    </xf>
    <xf numFmtId="165" fontId="2" fillId="0" borderId="50" xfId="1" applyFont="1" applyBorder="1" applyAlignment="1" applyProtection="1">
      <alignment horizontal="left" vertical="center" wrapText="1"/>
      <protection locked="0"/>
    </xf>
    <xf numFmtId="165" fontId="2" fillId="0" borderId="51" xfId="1" applyFont="1" applyBorder="1" applyAlignment="1" applyProtection="1">
      <alignment horizontal="left" vertical="center" wrapText="1"/>
      <protection locked="0"/>
    </xf>
    <xf numFmtId="165" fontId="4" fillId="0" borderId="35" xfId="1" applyFont="1" applyBorder="1" applyAlignment="1">
      <alignment horizontal="left" vertical="center" wrapText="1"/>
    </xf>
    <xf numFmtId="165" fontId="4" fillId="0" borderId="36" xfId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top"/>
    </xf>
    <xf numFmtId="165" fontId="2" fillId="0" borderId="18" xfId="1" applyFont="1" applyBorder="1" applyAlignment="1" applyProtection="1">
      <alignment horizontal="left" vertical="top" wrapText="1"/>
      <protection locked="0"/>
    </xf>
    <xf numFmtId="0" fontId="2" fillId="0" borderId="18" xfId="0" applyFont="1" applyBorder="1" applyAlignment="1">
      <alignment horizontal="center" wrapText="1"/>
    </xf>
    <xf numFmtId="0" fontId="7" fillId="0" borderId="18" xfId="0" applyFont="1" applyBorder="1" applyAlignment="1" applyProtection="1">
      <alignment vertical="center"/>
      <protection locked="0"/>
    </xf>
    <xf numFmtId="2" fontId="4" fillId="2" borderId="18" xfId="0" applyNumberFormat="1" applyFont="1" applyFill="1" applyBorder="1" applyAlignment="1">
      <alignment horizontal="center" vertical="center" wrapText="1"/>
    </xf>
    <xf numFmtId="49" fontId="2" fillId="0" borderId="18" xfId="1" applyNumberFormat="1" applyFont="1" applyBorder="1" applyAlignment="1" applyProtection="1">
      <alignment horizontal="left" vertical="top" wrapText="1"/>
      <protection locked="0"/>
    </xf>
    <xf numFmtId="166" fontId="2" fillId="0" borderId="18" xfId="0" applyNumberFormat="1" applyFont="1" applyBorder="1" applyAlignment="1">
      <alignment horizontal="left" vertical="top" wrapText="1"/>
    </xf>
    <xf numFmtId="9" fontId="2" fillId="14" borderId="1" xfId="2" applyFont="1" applyFill="1" applyBorder="1" applyAlignment="1" applyProtection="1">
      <alignment horizontal="left" vertical="top" wrapText="1"/>
      <protection locked="0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9" borderId="18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/>
    </xf>
    <xf numFmtId="0" fontId="2" fillId="9" borderId="1" xfId="0" applyFont="1" applyFill="1" applyBorder="1"/>
    <xf numFmtId="0" fontId="4" fillId="9" borderId="4" xfId="0" applyFont="1" applyFill="1" applyBorder="1" applyAlignment="1">
      <alignment horizontal="center" vertical="center" wrapText="1"/>
    </xf>
    <xf numFmtId="0" fontId="2" fillId="0" borderId="39" xfId="0" quotePrefix="1" applyFont="1" applyBorder="1" applyAlignment="1" applyProtection="1">
      <alignment horizontal="left" vertical="top" wrapText="1"/>
      <protection locked="0"/>
    </xf>
    <xf numFmtId="0" fontId="2" fillId="0" borderId="63" xfId="0" applyFont="1" applyBorder="1" applyAlignment="1" applyProtection="1">
      <alignment horizontal="left" vertical="top" wrapText="1"/>
      <protection locked="0"/>
    </xf>
    <xf numFmtId="0" fontId="2" fillId="0" borderId="40" xfId="0" applyFont="1" applyBorder="1" applyAlignment="1" applyProtection="1">
      <alignment horizontal="left" vertical="top" wrapText="1"/>
      <protection locked="0"/>
    </xf>
    <xf numFmtId="0" fontId="2" fillId="14" borderId="38" xfId="0" applyFont="1" applyFill="1" applyBorder="1" applyAlignment="1" applyProtection="1">
      <alignment horizontal="left" vertical="top" wrapText="1"/>
      <protection locked="0"/>
    </xf>
    <xf numFmtId="0" fontId="2" fillId="14" borderId="25" xfId="0" applyFont="1" applyFill="1" applyBorder="1" applyAlignment="1" applyProtection="1">
      <alignment horizontal="left" vertical="top" wrapText="1"/>
      <protection locked="0"/>
    </xf>
    <xf numFmtId="0" fontId="2" fillId="14" borderId="26" xfId="0" applyFont="1" applyFill="1" applyBorder="1" applyAlignment="1" applyProtection="1">
      <alignment horizontal="left" vertical="top" wrapText="1"/>
      <protection locked="0"/>
    </xf>
    <xf numFmtId="165" fontId="4" fillId="0" borderId="53" xfId="1" applyFont="1" applyBorder="1" applyAlignment="1">
      <alignment horizontal="left" vertical="center" wrapText="1"/>
    </xf>
    <xf numFmtId="165" fontId="4" fillId="0" borderId="54" xfId="1" applyFont="1" applyBorder="1" applyAlignment="1">
      <alignment horizontal="left" vertical="center" wrapText="1"/>
    </xf>
    <xf numFmtId="0" fontId="2" fillId="0" borderId="64" xfId="0" quotePrefix="1" applyFont="1" applyBorder="1" applyAlignment="1" applyProtection="1">
      <alignment horizontal="left" vertical="top" wrapText="1"/>
      <protection locked="0"/>
    </xf>
    <xf numFmtId="0" fontId="2" fillId="0" borderId="65" xfId="0" applyFont="1" applyBorder="1" applyAlignment="1" applyProtection="1">
      <alignment horizontal="left" vertical="top" wrapText="1"/>
      <protection locked="0"/>
    </xf>
    <xf numFmtId="0" fontId="2" fillId="0" borderId="37" xfId="0" applyFont="1" applyBorder="1" applyAlignment="1" applyProtection="1">
      <alignment horizontal="left" vertical="top" wrapText="1"/>
      <protection locked="0"/>
    </xf>
    <xf numFmtId="0" fontId="2" fillId="0" borderId="66" xfId="0" applyFont="1" applyBorder="1" applyAlignment="1" applyProtection="1">
      <alignment horizontal="left" vertical="top" wrapText="1"/>
      <protection locked="0"/>
    </xf>
    <xf numFmtId="0" fontId="2" fillId="14" borderId="67" xfId="0" applyFont="1" applyFill="1" applyBorder="1" applyAlignment="1" applyProtection="1">
      <alignment horizontal="left" vertical="top" wrapText="1"/>
      <protection locked="0"/>
    </xf>
    <xf numFmtId="0" fontId="2" fillId="14" borderId="5" xfId="0" applyFont="1" applyFill="1" applyBorder="1" applyAlignment="1" applyProtection="1">
      <alignment horizontal="left" vertical="top" wrapText="1"/>
      <protection locked="0"/>
    </xf>
    <xf numFmtId="0" fontId="2" fillId="14" borderId="17" xfId="0" applyFont="1" applyFill="1" applyBorder="1" applyAlignment="1" applyProtection="1">
      <alignment horizontal="left" vertical="top" wrapText="1"/>
      <protection locked="0"/>
    </xf>
    <xf numFmtId="0" fontId="2" fillId="0" borderId="62" xfId="0" applyFont="1" applyBorder="1" applyAlignment="1" applyProtection="1">
      <alignment horizontal="left" vertical="top" wrapText="1"/>
      <protection locked="0"/>
    </xf>
    <xf numFmtId="0" fontId="2" fillId="0" borderId="34" xfId="0" applyFont="1" applyBorder="1" applyAlignment="1" applyProtection="1">
      <alignment horizontal="left" vertical="top" wrapText="1"/>
      <protection locked="0"/>
    </xf>
    <xf numFmtId="0" fontId="2" fillId="0" borderId="32" xfId="0" applyFont="1" applyBorder="1" applyAlignment="1" applyProtection="1">
      <alignment horizontal="left" vertical="top" wrapText="1"/>
      <protection locked="0"/>
    </xf>
    <xf numFmtId="0" fontId="2" fillId="20" borderId="32" xfId="0" applyFont="1" applyFill="1" applyBorder="1" applyAlignment="1" applyProtection="1">
      <alignment horizontal="left" vertical="top" wrapText="1"/>
      <protection locked="0"/>
    </xf>
    <xf numFmtId="0" fontId="2" fillId="14" borderId="33" xfId="0" applyFont="1" applyFill="1" applyBorder="1" applyAlignment="1" applyProtection="1">
      <alignment horizontal="left" vertical="top" wrapText="1"/>
      <protection locked="0"/>
    </xf>
    <xf numFmtId="0" fontId="2" fillId="14" borderId="6" xfId="0" applyFont="1" applyFill="1" applyBorder="1" applyAlignment="1" applyProtection="1">
      <alignment horizontal="left" vertical="top" wrapText="1"/>
      <protection locked="0"/>
    </xf>
    <xf numFmtId="0" fontId="2" fillId="14" borderId="4" xfId="0" applyFont="1" applyFill="1" applyBorder="1" applyAlignment="1" applyProtection="1">
      <alignment horizontal="left" vertical="top" wrapText="1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4" xfId="0" applyFont="1" applyBorder="1" applyAlignment="1" applyProtection="1">
      <alignment horizontal="left" vertical="center" wrapText="1"/>
      <protection locked="0"/>
    </xf>
    <xf numFmtId="0" fontId="2" fillId="0" borderId="68" xfId="0" quotePrefix="1" applyFont="1" applyBorder="1" applyAlignment="1" applyProtection="1">
      <alignment horizontal="left" vertical="top" wrapText="1"/>
      <protection locked="0"/>
    </xf>
    <xf numFmtId="0" fontId="2" fillId="0" borderId="69" xfId="0" applyFont="1" applyBorder="1" applyAlignment="1" applyProtection="1">
      <alignment horizontal="left" vertical="top" wrapText="1"/>
      <protection locked="0"/>
    </xf>
    <xf numFmtId="0" fontId="2" fillId="0" borderId="41" xfId="0" applyFont="1" applyBorder="1" applyAlignment="1" applyProtection="1">
      <alignment horizontal="left" vertical="top" wrapText="1"/>
      <protection locked="0"/>
    </xf>
    <xf numFmtId="0" fontId="2" fillId="14" borderId="70" xfId="0" applyFont="1" applyFill="1" applyBorder="1" applyAlignment="1" applyProtection="1">
      <alignment horizontal="left" vertical="top" wrapText="1"/>
      <protection locked="0"/>
    </xf>
    <xf numFmtId="0" fontId="2" fillId="14" borderId="22" xfId="0" applyFont="1" applyFill="1" applyBorder="1" applyAlignment="1" applyProtection="1">
      <alignment horizontal="left" vertical="top" wrapText="1"/>
      <protection locked="0"/>
    </xf>
    <xf numFmtId="0" fontId="2" fillId="14" borderId="23" xfId="0" applyFont="1" applyFill="1" applyBorder="1" applyAlignment="1" applyProtection="1">
      <alignment horizontal="left" vertical="top" wrapText="1"/>
      <protection locked="0"/>
    </xf>
    <xf numFmtId="0" fontId="2" fillId="0" borderId="45" xfId="0" applyFont="1" applyBorder="1" applyAlignment="1" applyProtection="1">
      <alignment horizontal="left" vertical="top" wrapText="1"/>
      <protection locked="0"/>
    </xf>
    <xf numFmtId="0" fontId="2" fillId="0" borderId="71" xfId="0" applyFont="1" applyBorder="1" applyAlignment="1" applyProtection="1">
      <alignment horizontal="left" vertical="top" wrapText="1"/>
      <protection locked="0"/>
    </xf>
    <xf numFmtId="0" fontId="2" fillId="0" borderId="46" xfId="0" applyFont="1" applyBorder="1" applyAlignment="1" applyProtection="1">
      <alignment horizontal="left" vertical="top" wrapText="1"/>
      <protection locked="0"/>
    </xf>
    <xf numFmtId="0" fontId="2" fillId="14" borderId="43" xfId="0" applyFont="1" applyFill="1" applyBorder="1" applyAlignment="1" applyProtection="1">
      <alignment horizontal="left" vertical="top" wrapText="1"/>
      <protection locked="0"/>
    </xf>
    <xf numFmtId="0" fontId="2" fillId="14" borderId="28" xfId="0" applyFont="1" applyFill="1" applyBorder="1" applyAlignment="1" applyProtection="1">
      <alignment horizontal="left" vertical="top" wrapText="1"/>
      <protection locked="0"/>
    </xf>
    <xf numFmtId="0" fontId="2" fillId="14" borderId="44" xfId="0" applyFont="1" applyFill="1" applyBorder="1" applyAlignment="1" applyProtection="1">
      <alignment horizontal="left" vertical="top" wrapText="1"/>
      <protection locked="0"/>
    </xf>
    <xf numFmtId="0" fontId="2" fillId="0" borderId="64" xfId="0" applyFont="1" applyBorder="1" applyAlignment="1" applyProtection="1">
      <alignment horizontal="left" vertical="top" wrapText="1"/>
      <protection locked="0"/>
    </xf>
    <xf numFmtId="0" fontId="2" fillId="0" borderId="62" xfId="0" quotePrefix="1" applyFont="1" applyBorder="1" applyAlignment="1" applyProtection="1">
      <alignment horizontal="left" vertical="top" wrapText="1"/>
      <protection locked="0"/>
    </xf>
    <xf numFmtId="0" fontId="21" fillId="0" borderId="3" xfId="0" applyFont="1" applyBorder="1" applyAlignment="1" applyProtection="1">
      <alignment horizontal="left" vertical="top" wrapText="1"/>
      <protection locked="0"/>
    </xf>
    <xf numFmtId="0" fontId="21" fillId="0" borderId="6" xfId="0" applyFont="1" applyBorder="1" applyAlignment="1" applyProtection="1">
      <alignment horizontal="left" vertical="top" wrapText="1"/>
      <protection locked="0"/>
    </xf>
    <xf numFmtId="0" fontId="21" fillId="0" borderId="4" xfId="0" applyFont="1" applyBorder="1" applyAlignment="1" applyProtection="1">
      <alignment horizontal="left" vertical="top" wrapText="1"/>
      <protection locked="0"/>
    </xf>
    <xf numFmtId="0" fontId="21" fillId="0" borderId="3" xfId="0" applyFont="1" applyBorder="1" applyAlignment="1" applyProtection="1">
      <alignment horizontal="center" vertical="top" wrapText="1"/>
      <protection locked="0"/>
    </xf>
    <xf numFmtId="0" fontId="21" fillId="0" borderId="6" xfId="0" applyFont="1" applyBorder="1" applyAlignment="1" applyProtection="1">
      <alignment horizontal="center" vertical="top" wrapText="1"/>
      <protection locked="0"/>
    </xf>
    <xf numFmtId="0" fontId="21" fillId="0" borderId="4" xfId="0" applyFont="1" applyBorder="1" applyAlignment="1" applyProtection="1">
      <alignment horizontal="center" vertical="top" wrapText="1"/>
      <protection locked="0"/>
    </xf>
    <xf numFmtId="0" fontId="21" fillId="0" borderId="21" xfId="0" applyFont="1" applyBorder="1" applyAlignment="1">
      <alignment horizontal="left" vertical="top" wrapText="1"/>
    </xf>
    <xf numFmtId="0" fontId="21" fillId="0" borderId="22" xfId="0" applyFont="1" applyBorder="1" applyAlignment="1">
      <alignment horizontal="left" vertical="top" wrapText="1"/>
    </xf>
    <xf numFmtId="0" fontId="21" fillId="0" borderId="2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11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21" xfId="0" applyFont="1" applyBorder="1" applyAlignment="1" applyProtection="1">
      <alignment horizontal="center" vertical="top" wrapText="1"/>
      <protection locked="0"/>
    </xf>
    <xf numFmtId="0" fontId="21" fillId="0" borderId="22" xfId="0" applyFont="1" applyBorder="1" applyAlignment="1" applyProtection="1">
      <alignment horizontal="center" vertical="top" wrapText="1"/>
      <protection locked="0"/>
    </xf>
    <xf numFmtId="0" fontId="21" fillId="0" borderId="23" xfId="0" applyFont="1" applyBorder="1" applyAlignment="1" applyProtection="1">
      <alignment horizontal="center" vertical="top" wrapText="1"/>
      <protection locked="0"/>
    </xf>
    <xf numFmtId="0" fontId="11" fillId="0" borderId="1" xfId="0" applyFont="1" applyBorder="1" applyAlignment="1">
      <alignment horizontal="left"/>
    </xf>
    <xf numFmtId="0" fontId="24" fillId="0" borderId="6" xfId="0" applyFont="1" applyBorder="1"/>
    <xf numFmtId="0" fontId="24" fillId="0" borderId="4" xfId="0" applyFont="1" applyBorder="1"/>
    <xf numFmtId="0" fontId="13" fillId="0" borderId="61" xfId="0" applyFont="1" applyBorder="1" applyAlignment="1">
      <alignment horizontal="center" vertical="top" wrapText="1"/>
    </xf>
    <xf numFmtId="0" fontId="12" fillId="0" borderId="60" xfId="0" applyFont="1" applyBorder="1" applyAlignment="1">
      <alignment horizontal="center" vertical="top" wrapText="1"/>
    </xf>
    <xf numFmtId="0" fontId="12" fillId="0" borderId="59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2" fillId="0" borderId="28" xfId="0" applyFont="1" applyBorder="1" applyAlignment="1">
      <alignment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30" xfId="0" applyFont="1" applyBorder="1" applyAlignment="1">
      <alignment vertical="center" wrapText="1"/>
    </xf>
    <xf numFmtId="0" fontId="16" fillId="0" borderId="58" xfId="0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top" wrapText="1"/>
    </xf>
    <xf numFmtId="0" fontId="17" fillId="15" borderId="21" xfId="0" applyFont="1" applyFill="1" applyBorder="1" applyAlignment="1">
      <alignment horizontal="center" vertical="center" wrapText="1"/>
    </xf>
    <xf numFmtId="0" fontId="17" fillId="15" borderId="23" xfId="0" applyFont="1" applyFill="1" applyBorder="1" applyAlignment="1">
      <alignment horizontal="center" vertical="center" wrapText="1"/>
    </xf>
    <xf numFmtId="0" fontId="17" fillId="19" borderId="21" xfId="0" applyFont="1" applyFill="1" applyBorder="1" applyAlignment="1">
      <alignment horizontal="center" vertical="center" wrapText="1"/>
    </xf>
    <xf numFmtId="0" fontId="17" fillId="19" borderId="23" xfId="0" applyFont="1" applyFill="1" applyBorder="1" applyAlignment="1">
      <alignment horizontal="center" vertical="center" wrapText="1"/>
    </xf>
    <xf numFmtId="15" fontId="17" fillId="0" borderId="5" xfId="0" applyNumberFormat="1" applyFont="1" applyBorder="1" applyAlignment="1">
      <alignment horizontal="left" vertical="center" wrapText="1"/>
    </xf>
    <xf numFmtId="0" fontId="17" fillId="0" borderId="5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8" fillId="9" borderId="3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69">
    <dxf>
      <fill>
        <patternFill>
          <bgColor rgb="FFFFFF99"/>
        </patternFill>
      </fill>
    </dxf>
    <dxf>
      <font>
        <b/>
        <color theme="5"/>
      </font>
    </dxf>
    <dxf>
      <font>
        <b/>
        <color rgb="FF00B050"/>
      </font>
    </dxf>
    <dxf>
      <font>
        <b/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ont>
        <color rgb="FF00B050"/>
      </font>
    </dxf>
    <dxf>
      <font>
        <color theme="7"/>
      </font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ont>
        <b/>
        <color rgb="FF00B050"/>
      </font>
    </dxf>
    <dxf>
      <font>
        <b/>
        <color theme="5"/>
      </font>
    </dxf>
    <dxf>
      <font>
        <b/>
        <color rgb="FFFF0000"/>
      </font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ill>
        <patternFill>
          <bgColor rgb="FFFFFF99"/>
        </patternFill>
      </fill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00B050"/>
      </font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theme="7"/>
      </font>
    </dxf>
    <dxf>
      <font>
        <color rgb="FF00B050"/>
      </font>
    </dxf>
    <dxf>
      <font>
        <color rgb="FFFF0000"/>
      </font>
    </dxf>
    <dxf>
      <font>
        <color theme="7"/>
      </font>
    </dxf>
    <dxf>
      <fill>
        <patternFill>
          <bgColor rgb="FFFFFF99"/>
        </patternFill>
      </fill>
    </dxf>
    <dxf>
      <font>
        <b/>
        <color theme="5"/>
      </font>
    </dxf>
    <dxf>
      <font>
        <b/>
        <color rgb="FF00B050"/>
      </font>
    </dxf>
    <dxf>
      <font>
        <b/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FF0000"/>
      </font>
    </dxf>
    <dxf>
      <font>
        <color theme="7"/>
      </font>
    </dxf>
    <dxf>
      <font>
        <color rgb="FF00B05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ont>
        <color rgb="FF00B050"/>
      </font>
    </dxf>
    <dxf>
      <font>
        <color theme="7"/>
      </font>
    </dxf>
    <dxf>
      <font>
        <color rgb="FFFF000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ont>
        <b/>
        <color rgb="FF00B050"/>
      </font>
    </dxf>
    <dxf>
      <font>
        <b/>
        <color theme="5"/>
      </font>
    </dxf>
    <dxf>
      <font>
        <b/>
        <color rgb="FFFF0000"/>
      </font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ill>
        <patternFill>
          <bgColor rgb="FFFFFF99"/>
        </patternFill>
      </fill>
    </dxf>
    <dxf>
      <font>
        <b/>
        <color rgb="FFFF0000"/>
      </font>
    </dxf>
    <dxf>
      <font>
        <b/>
        <color theme="5"/>
      </font>
    </dxf>
    <dxf>
      <font>
        <b/>
        <color rgb="FF00B050"/>
      </font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44</xdr:col>
      <xdr:colOff>152400</xdr:colOff>
      <xdr:row>9</xdr:row>
      <xdr:rowOff>137160</xdr:rowOff>
    </xdr:from>
    <xdr:ext cx="6046891" cy="2231485"/>
    <xdr:pic>
      <xdr:nvPicPr>
        <xdr:cNvPr id="2" name="Picture 1">
          <a:extLst>
            <a:ext uri="{FF2B5EF4-FFF2-40B4-BE49-F238E27FC236}">
              <a16:creationId xmlns:a16="http://schemas.microsoft.com/office/drawing/2014/main" id="{A2F8EB0D-BE9D-4E58-BF04-CDD3BF6C6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4700" y="2004060"/>
          <a:ext cx="6046891" cy="2231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oy Garcia" id="{7E25E098-0F53-493E-9496-C15AFCAF752F}" userId="Joy Garcia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76" dT="2020-02-26T07:00:08.94" personId="{7E25E098-0F53-493E-9496-C15AFCAF752F}" id="{D07BA474-C3D3-4268-94FB-C2ED9C763FC2}">
    <text>{Note: This includes project contracts outside ADB procurement process, and within the project’s scope}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1DA2-1741-4760-A935-7BD1C4FF23F2}">
  <sheetPr codeName="Sheet1"/>
  <dimension ref="A1:CX6"/>
  <sheetViews>
    <sheetView showGridLines="0" tabSelected="1" zoomScale="90" zoomScaleNormal="90" workbookViewId="0"/>
  </sheetViews>
  <sheetFormatPr defaultRowHeight="13.2" x14ac:dyDescent="0.3"/>
  <cols>
    <col min="1" max="1" width="4.6640625" style="316" customWidth="1"/>
    <col min="2" max="2" width="8.5546875" style="315" customWidth="1"/>
    <col min="3" max="3" width="8.88671875" style="315" customWidth="1"/>
    <col min="4" max="4" width="13.5546875" style="315" customWidth="1"/>
    <col min="5" max="5" width="19.6640625" style="316" customWidth="1"/>
    <col min="6" max="6" width="23.44140625" style="316" customWidth="1"/>
    <col min="7" max="7" width="56.44140625" style="316" customWidth="1"/>
    <col min="8" max="8" width="11.88671875" style="316" hidden="1" customWidth="1"/>
    <col min="9" max="9" width="0" style="316" hidden="1" customWidth="1"/>
    <col min="10" max="18" width="10.33203125" style="316" customWidth="1"/>
    <col min="19" max="30" width="0" style="316" hidden="1" customWidth="1"/>
    <col min="31" max="31" width="0.77734375" style="316" customWidth="1"/>
    <col min="32" max="43" width="0" style="316" hidden="1" customWidth="1"/>
    <col min="44" max="44" width="0.77734375" style="316" customWidth="1"/>
    <col min="45" max="78" width="0" style="316" hidden="1" customWidth="1"/>
    <col min="79" max="79" width="0.77734375" style="316" customWidth="1"/>
    <col min="80" max="83" width="0" style="316" hidden="1" customWidth="1"/>
    <col min="84" max="84" width="0.77734375" style="316" hidden="1" customWidth="1"/>
    <col min="85" max="91" width="0" style="316" hidden="1" customWidth="1"/>
    <col min="92" max="92" width="0.77734375" style="316" hidden="1" customWidth="1"/>
    <col min="93" max="101" width="0" style="316" hidden="1" customWidth="1"/>
    <col min="102" max="16384" width="8.88671875" style="316"/>
  </cols>
  <sheetData>
    <row r="1" spans="1:102" x14ac:dyDescent="0.3">
      <c r="A1" s="314" t="s">
        <v>245</v>
      </c>
    </row>
    <row r="2" spans="1:102" x14ac:dyDescent="0.3">
      <c r="A2" s="317" t="str">
        <f ca="1">TEXT(TODAY(),"dd mmmm yyyy")</f>
        <v>13 April 2026</v>
      </c>
    </row>
    <row r="3" spans="1:102" x14ac:dyDescent="0.3">
      <c r="A3" s="317"/>
    </row>
    <row r="4" spans="1:102" ht="15" customHeight="1" x14ac:dyDescent="0.3">
      <c r="A4" s="331" t="s">
        <v>205</v>
      </c>
      <c r="B4" s="331" t="s">
        <v>206</v>
      </c>
      <c r="C4" s="331" t="s">
        <v>207</v>
      </c>
      <c r="D4" s="331" t="s">
        <v>3</v>
      </c>
      <c r="E4" s="331" t="s">
        <v>208</v>
      </c>
      <c r="F4" s="331" t="s">
        <v>209</v>
      </c>
      <c r="G4" s="331" t="s">
        <v>210</v>
      </c>
      <c r="H4" s="331" t="s">
        <v>211</v>
      </c>
      <c r="I4" s="331" t="s">
        <v>212</v>
      </c>
      <c r="J4" s="334" t="s">
        <v>213</v>
      </c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F4" s="335" t="s">
        <v>214</v>
      </c>
      <c r="AG4" s="335"/>
      <c r="AH4" s="335"/>
      <c r="AI4" s="335"/>
      <c r="AJ4" s="335"/>
      <c r="AK4" s="335"/>
      <c r="AL4" s="335"/>
      <c r="AM4" s="335"/>
      <c r="AN4" s="335"/>
      <c r="AO4" s="335"/>
      <c r="AP4" s="335"/>
      <c r="AQ4" s="335"/>
      <c r="AS4" s="330" t="s">
        <v>215</v>
      </c>
      <c r="AT4" s="330"/>
      <c r="AU4" s="330"/>
      <c r="AV4" s="330"/>
      <c r="AW4" s="330"/>
      <c r="AX4" s="330"/>
      <c r="AY4" s="330"/>
      <c r="AZ4" s="330"/>
      <c r="BA4" s="330"/>
      <c r="BB4" s="330"/>
      <c r="BC4" s="330"/>
      <c r="BD4" s="330"/>
      <c r="BE4" s="330"/>
      <c r="BF4" s="330"/>
      <c r="BG4" s="330"/>
      <c r="BH4" s="330"/>
      <c r="BI4" s="330"/>
      <c r="BJ4" s="330"/>
      <c r="BK4" s="330"/>
      <c r="BL4" s="330"/>
      <c r="BM4" s="330"/>
      <c r="BN4" s="330"/>
      <c r="BO4" s="330"/>
      <c r="BP4" s="330"/>
      <c r="BQ4" s="330"/>
      <c r="BR4" s="330"/>
      <c r="BS4" s="330"/>
      <c r="BT4" s="330"/>
      <c r="BU4" s="330"/>
      <c r="BV4" s="330"/>
      <c r="BW4" s="330"/>
      <c r="BX4" s="330"/>
      <c r="BY4" s="330"/>
      <c r="BZ4" s="330"/>
      <c r="CB4" s="327" t="s">
        <v>216</v>
      </c>
      <c r="CC4" s="327"/>
      <c r="CD4" s="327"/>
      <c r="CE4" s="327"/>
      <c r="CG4" s="318"/>
      <c r="CH4" s="318"/>
      <c r="CI4" s="318"/>
      <c r="CJ4" s="318" t="s">
        <v>217</v>
      </c>
      <c r="CK4" s="318"/>
      <c r="CL4" s="318"/>
      <c r="CM4" s="318"/>
      <c r="CO4" s="327" t="s">
        <v>218</v>
      </c>
      <c r="CP4" s="327"/>
      <c r="CQ4" s="327"/>
      <c r="CR4" s="327"/>
      <c r="CS4" s="327"/>
      <c r="CT4" s="327"/>
      <c r="CU4" s="327"/>
      <c r="CV4" s="327"/>
      <c r="CW4" s="327"/>
      <c r="CX4" s="315"/>
    </row>
    <row r="5" spans="1:102" ht="12" customHeight="1" x14ac:dyDescent="0.3">
      <c r="A5" s="332"/>
      <c r="B5" s="332"/>
      <c r="C5" s="332"/>
      <c r="D5" s="332"/>
      <c r="E5" s="332"/>
      <c r="F5" s="332"/>
      <c r="G5" s="332"/>
      <c r="H5" s="332"/>
      <c r="I5" s="332"/>
      <c r="J5" s="328" t="s">
        <v>20</v>
      </c>
      <c r="K5" s="328" t="s">
        <v>21</v>
      </c>
      <c r="L5" s="328" t="s">
        <v>219</v>
      </c>
      <c r="M5" s="328" t="s">
        <v>220</v>
      </c>
      <c r="N5" s="328" t="s">
        <v>221</v>
      </c>
      <c r="O5" s="328" t="s">
        <v>222</v>
      </c>
      <c r="P5" s="328" t="s">
        <v>223</v>
      </c>
      <c r="Q5" s="328" t="s">
        <v>224</v>
      </c>
      <c r="R5" s="328" t="s">
        <v>225</v>
      </c>
      <c r="S5" s="328" t="s">
        <v>226</v>
      </c>
      <c r="T5" s="328"/>
      <c r="U5" s="328" t="s">
        <v>227</v>
      </c>
      <c r="V5" s="328"/>
      <c r="W5" s="328" t="s">
        <v>57</v>
      </c>
      <c r="X5" s="328"/>
      <c r="Y5" s="328" t="s">
        <v>228</v>
      </c>
      <c r="Z5" s="328"/>
      <c r="AA5" s="328" t="s">
        <v>229</v>
      </c>
      <c r="AB5" s="328"/>
      <c r="AC5" s="328" t="s">
        <v>230</v>
      </c>
      <c r="AD5" s="328"/>
      <c r="AF5" s="336" t="s">
        <v>231</v>
      </c>
      <c r="AG5" s="336"/>
      <c r="AH5" s="336" t="s">
        <v>232</v>
      </c>
      <c r="AI5" s="336"/>
      <c r="AJ5" s="336" t="s">
        <v>233</v>
      </c>
      <c r="AK5" s="336"/>
      <c r="AL5" s="336" t="s">
        <v>36</v>
      </c>
      <c r="AM5" s="336"/>
      <c r="AN5" s="336" t="s">
        <v>37</v>
      </c>
      <c r="AO5" s="336"/>
      <c r="AP5" s="336" t="s">
        <v>234</v>
      </c>
      <c r="AQ5" s="336"/>
      <c r="AS5" s="326" t="s">
        <v>235</v>
      </c>
      <c r="AT5" s="326"/>
      <c r="AU5" s="326"/>
      <c r="AV5" s="326"/>
      <c r="AW5" s="326"/>
      <c r="AX5" s="326"/>
      <c r="AY5" s="326" t="s">
        <v>236</v>
      </c>
      <c r="AZ5" s="326"/>
      <c r="BA5" s="326"/>
      <c r="BB5" s="326"/>
      <c r="BC5" s="326"/>
      <c r="BD5" s="326" t="s">
        <v>237</v>
      </c>
      <c r="BE5" s="326"/>
      <c r="BF5" s="326"/>
      <c r="BG5" s="326"/>
      <c r="BH5" s="326"/>
      <c r="BI5" s="326"/>
      <c r="BJ5" s="326" t="s">
        <v>238</v>
      </c>
      <c r="BK5" s="326"/>
      <c r="BL5" s="326"/>
      <c r="BM5" s="326"/>
      <c r="BN5" s="326"/>
      <c r="BO5" s="326"/>
      <c r="BP5" s="326" t="s">
        <v>239</v>
      </c>
      <c r="BQ5" s="326"/>
      <c r="BR5" s="326"/>
      <c r="BS5" s="326"/>
      <c r="BT5" s="326"/>
      <c r="BU5" s="326" t="s">
        <v>240</v>
      </c>
      <c r="BV5" s="326"/>
      <c r="BW5" s="326"/>
      <c r="BX5" s="326"/>
      <c r="BY5" s="326"/>
      <c r="BZ5" s="319"/>
      <c r="CE5" s="324" t="s">
        <v>241</v>
      </c>
      <c r="CL5" s="324" t="s">
        <v>242</v>
      </c>
      <c r="CM5" s="324" t="s">
        <v>241</v>
      </c>
      <c r="CO5" s="324" t="s">
        <v>243</v>
      </c>
      <c r="CP5" s="324"/>
      <c r="CQ5" s="324"/>
      <c r="CR5" s="324"/>
      <c r="CS5" s="324"/>
      <c r="CT5" s="324"/>
      <c r="CU5" s="324"/>
      <c r="CV5" s="324"/>
      <c r="CW5" s="324" t="s">
        <v>241</v>
      </c>
      <c r="CX5" s="315"/>
    </row>
    <row r="6" spans="1:102" s="75" customFormat="1" ht="15" customHeight="1" x14ac:dyDescent="0.3">
      <c r="A6" s="333"/>
      <c r="B6" s="333"/>
      <c r="C6" s="333"/>
      <c r="D6" s="333"/>
      <c r="E6" s="333"/>
      <c r="F6" s="333"/>
      <c r="G6" s="333"/>
      <c r="H6" s="333"/>
      <c r="I6" s="333"/>
      <c r="J6" s="329"/>
      <c r="K6" s="329" t="s">
        <v>21</v>
      </c>
      <c r="L6" s="329" t="s">
        <v>219</v>
      </c>
      <c r="M6" s="329" t="s">
        <v>220</v>
      </c>
      <c r="N6" s="329" t="s">
        <v>221</v>
      </c>
      <c r="O6" s="329" t="s">
        <v>222</v>
      </c>
      <c r="P6" s="329" t="s">
        <v>223</v>
      </c>
      <c r="Q6" s="329" t="s">
        <v>224</v>
      </c>
      <c r="R6" s="329" t="s">
        <v>225</v>
      </c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16"/>
      <c r="AF6" s="320" t="s">
        <v>42</v>
      </c>
      <c r="AG6" s="320" t="s">
        <v>244</v>
      </c>
      <c r="AH6" s="320" t="s">
        <v>42</v>
      </c>
      <c r="AI6" s="320" t="s">
        <v>244</v>
      </c>
      <c r="AJ6" s="320" t="s">
        <v>42</v>
      </c>
      <c r="AK6" s="320" t="s">
        <v>244</v>
      </c>
      <c r="AL6" s="320" t="s">
        <v>42</v>
      </c>
      <c r="AM6" s="320" t="s">
        <v>244</v>
      </c>
      <c r="AN6" s="320" t="s">
        <v>42</v>
      </c>
      <c r="AO6" s="320" t="s">
        <v>244</v>
      </c>
      <c r="AP6" s="320" t="s">
        <v>42</v>
      </c>
      <c r="AQ6" s="320" t="s">
        <v>244</v>
      </c>
      <c r="AR6" s="316"/>
      <c r="AS6" s="321">
        <f ca="1">YEAR($A$2)-1</f>
        <v>2025</v>
      </c>
      <c r="AT6" s="322" t="str">
        <f ca="1">_xlfn.CONCAT("Q1 ",$AS$6+1)</f>
        <v>Q1 2026</v>
      </c>
      <c r="AU6" s="322" t="str">
        <f ca="1">_xlfn.CONCAT("Q2 ",$AS$6+1)</f>
        <v>Q2 2026</v>
      </c>
      <c r="AV6" s="322" t="str">
        <f ca="1">_xlfn.CONCAT("Q3 ",$AS$6+1)</f>
        <v>Q3 2026</v>
      </c>
      <c r="AW6" s="322" t="str">
        <f ca="1">_xlfn.CONCAT("Q4 ",$AS$6+1)</f>
        <v>Q4 2026</v>
      </c>
      <c r="AX6" s="322">
        <f ca="1">YEAR($A$2)</f>
        <v>2026</v>
      </c>
      <c r="AY6" s="322" t="str">
        <f ca="1">_xlfn.CONCAT("Q1 ",$AS$6+1)</f>
        <v>Q1 2026</v>
      </c>
      <c r="AZ6" s="322" t="str">
        <f ca="1">_xlfn.CONCAT("Q2 ",$AS$6+1)</f>
        <v>Q2 2026</v>
      </c>
      <c r="BA6" s="322" t="str">
        <f ca="1">_xlfn.CONCAT("Q3 ",$AS$6+1)</f>
        <v>Q3 2026</v>
      </c>
      <c r="BB6" s="322" t="str">
        <f ca="1">_xlfn.CONCAT("Q4 ",$AS$6+1)</f>
        <v>Q4 2026</v>
      </c>
      <c r="BC6" s="322">
        <f ca="1">YEAR($A$2)</f>
        <v>2026</v>
      </c>
      <c r="BD6" s="321">
        <f ca="1">YEAR($A$2)-1</f>
        <v>2025</v>
      </c>
      <c r="BE6" s="322" t="str">
        <f ca="1">_xlfn.CONCAT("Q1 ",$AS$6+1)</f>
        <v>Q1 2026</v>
      </c>
      <c r="BF6" s="322" t="str">
        <f ca="1">_xlfn.CONCAT("Q2 ",$AS$6+1)</f>
        <v>Q2 2026</v>
      </c>
      <c r="BG6" s="322" t="str">
        <f ca="1">_xlfn.CONCAT("Q3 ",$AS$6+1)</f>
        <v>Q3 2026</v>
      </c>
      <c r="BH6" s="322" t="str">
        <f ca="1">_xlfn.CONCAT("Q4 ",$AS$6+1)</f>
        <v>Q4 2026</v>
      </c>
      <c r="BI6" s="322">
        <f ca="1">YEAR($A$2)</f>
        <v>2026</v>
      </c>
      <c r="BJ6" s="321">
        <f ca="1">YEAR($A$2)-1</f>
        <v>2025</v>
      </c>
      <c r="BK6" s="322" t="str">
        <f ca="1">_xlfn.CONCAT("Q1 ",$AS$6+1)</f>
        <v>Q1 2026</v>
      </c>
      <c r="BL6" s="322" t="str">
        <f ca="1">_xlfn.CONCAT("Q2 ",$AS$6+1)</f>
        <v>Q2 2026</v>
      </c>
      <c r="BM6" s="322" t="str">
        <f ca="1">_xlfn.CONCAT("Q3 ",$AS$6+1)</f>
        <v>Q3 2026</v>
      </c>
      <c r="BN6" s="322" t="str">
        <f ca="1">_xlfn.CONCAT("Q4 ",$AS$6+1)</f>
        <v>Q4 2026</v>
      </c>
      <c r="BO6" s="322">
        <f ca="1">YEAR($A$2)</f>
        <v>2026</v>
      </c>
      <c r="BP6" s="322" t="str">
        <f ca="1">_xlfn.CONCAT("Q1 ",$AS$6+1)</f>
        <v>Q1 2026</v>
      </c>
      <c r="BQ6" s="322" t="str">
        <f ca="1">_xlfn.CONCAT("Q2 ",$AS$6+1)</f>
        <v>Q2 2026</v>
      </c>
      <c r="BR6" s="322" t="str">
        <f ca="1">_xlfn.CONCAT("Q3 ",$AS$6+1)</f>
        <v>Q3 2026</v>
      </c>
      <c r="BS6" s="322" t="str">
        <f ca="1">_xlfn.CONCAT("Q4 ",$AS$6+1)</f>
        <v>Q4 2026</v>
      </c>
      <c r="BT6" s="322">
        <f ca="1">YEAR($A$2)</f>
        <v>2026</v>
      </c>
      <c r="BU6" s="321">
        <f ca="1">YEAR($A$2)-1</f>
        <v>2025</v>
      </c>
      <c r="BV6" s="322" t="str">
        <f ca="1">_xlfn.CONCAT("Q1 ",$AS$6+1)</f>
        <v>Q1 2026</v>
      </c>
      <c r="BW6" s="322" t="str">
        <f ca="1">_xlfn.CONCAT("Q2 ",$AS$6+1)</f>
        <v>Q2 2026</v>
      </c>
      <c r="BX6" s="322" t="str">
        <f ca="1">_xlfn.CONCAT("Q3 ",$AS$6+1)</f>
        <v>Q3 2026</v>
      </c>
      <c r="BY6" s="322" t="str">
        <f ca="1">_xlfn.CONCAT("Q4 ",$AS$6+1)</f>
        <v>Q4 2026</v>
      </c>
      <c r="BZ6" s="322">
        <f ca="1">YEAR($A$2)</f>
        <v>2026</v>
      </c>
      <c r="CA6" s="316"/>
      <c r="CB6" s="323"/>
      <c r="CC6" s="323"/>
      <c r="CD6" s="323"/>
      <c r="CE6" s="325"/>
      <c r="CF6" s="316"/>
      <c r="CG6" s="323">
        <v>1</v>
      </c>
      <c r="CH6" s="323">
        <v>2</v>
      </c>
      <c r="CI6" s="323">
        <v>3</v>
      </c>
      <c r="CJ6" s="323">
        <v>4</v>
      </c>
      <c r="CK6" s="323">
        <v>5</v>
      </c>
      <c r="CL6" s="325"/>
      <c r="CM6" s="325"/>
      <c r="CN6" s="316"/>
      <c r="CO6" s="323">
        <v>1</v>
      </c>
      <c r="CP6" s="323">
        <v>2</v>
      </c>
      <c r="CQ6" s="323">
        <v>3</v>
      </c>
      <c r="CR6" s="323">
        <v>4</v>
      </c>
      <c r="CS6" s="323">
        <v>5</v>
      </c>
      <c r="CT6" s="323">
        <v>6</v>
      </c>
      <c r="CU6" s="323">
        <v>7</v>
      </c>
      <c r="CV6" s="323">
        <v>8</v>
      </c>
      <c r="CW6" s="325"/>
      <c r="CX6" s="315"/>
    </row>
  </sheetData>
  <mergeCells count="46">
    <mergeCell ref="F4:F6"/>
    <mergeCell ref="A4:A6"/>
    <mergeCell ref="B4:B6"/>
    <mergeCell ref="C4:C6"/>
    <mergeCell ref="D4:D6"/>
    <mergeCell ref="E4:E6"/>
    <mergeCell ref="G4:G6"/>
    <mergeCell ref="H4:H6"/>
    <mergeCell ref="I4:I6"/>
    <mergeCell ref="J4:AD4"/>
    <mergeCell ref="AF4:AQ4"/>
    <mergeCell ref="Q5:Q6"/>
    <mergeCell ref="R5:R6"/>
    <mergeCell ref="S5:T6"/>
    <mergeCell ref="U5:V6"/>
    <mergeCell ref="AF5:AG5"/>
    <mergeCell ref="AH5:AI5"/>
    <mergeCell ref="AJ5:AK5"/>
    <mergeCell ref="AL5:AM5"/>
    <mergeCell ref="AN5:AO5"/>
    <mergeCell ref="AP5:AQ5"/>
    <mergeCell ref="CB4:CE4"/>
    <mergeCell ref="CO4:CW4"/>
    <mergeCell ref="J5:J6"/>
    <mergeCell ref="K5:K6"/>
    <mergeCell ref="L5:L6"/>
    <mergeCell ref="M5:M6"/>
    <mergeCell ref="N5:N6"/>
    <mergeCell ref="O5:O6"/>
    <mergeCell ref="P5:P6"/>
    <mergeCell ref="AS4:BZ4"/>
    <mergeCell ref="AY5:BC5"/>
    <mergeCell ref="W5:X6"/>
    <mergeCell ref="Y5:Z6"/>
    <mergeCell ref="AA5:AB6"/>
    <mergeCell ref="AC5:AD6"/>
    <mergeCell ref="AS5:AX5"/>
    <mergeCell ref="CM5:CM6"/>
    <mergeCell ref="CO5:CV5"/>
    <mergeCell ref="CW5:CW6"/>
    <mergeCell ref="BD5:BI5"/>
    <mergeCell ref="BJ5:BO5"/>
    <mergeCell ref="BP5:BT5"/>
    <mergeCell ref="BU5:BY5"/>
    <mergeCell ref="CE5:CE6"/>
    <mergeCell ref="CL5:CL6"/>
  </mergeCells>
  <dataValidations disablePrompts="1" count="9">
    <dataValidation allowBlank="1" showInputMessage="1" showErrorMessage="1" prompt="Cumulative CA as of" sqref="AS6" xr:uid="{97C29614-0BA3-415A-A8E1-01D15111F2A0}"/>
    <dataValidation allowBlank="1" showInputMessage="1" showErrorMessage="1" prompt="Is the project up-to-date with the scheduled monitoring reports? " sqref="CV6" xr:uid="{3958E772-63B1-4462-A0DD-A8060C38F3FA}"/>
    <dataValidation allowBlank="1" showInputMessage="1" showErrorMessage="1" prompt="Does the project have any outstanding non-compliances* [can be notified by staff, external monitor, regulatory agencies, supervision consultants, borrower, or contractors]?_x000a_*excluding non-compliances covered under Q1 through Q6_x000a_" sqref="CU6" xr:uid="{E2827CE2-1AAF-40F5-A362-C3D0F332C75E}"/>
    <dataValidation allowBlank="1" showInputMessage="1" showErrorMessage="1" prompt="Does the project meet both criteria below: (a) has a functioning GRM; and (b) has NO Accountability Mechanism (CRP)-eligible complaint(s) on file?" sqref="CT6" xr:uid="{51E91BBF-6812-44A7-B7B5-DF4B0E42ADCC}"/>
    <dataValidation allowBlank="1" showInputMessage="1" showErrorMessage="1" prompt="For any proj outputs/components, are there any civil works sites w/ involuntary resettlement impacts where access is granted to contractors and economic/ physical displacement occurs before compensations are fully paid to affected persons...? " sqref="CS6" xr:uid="{58046E2C-D521-42F9-9A2F-BC041AECDC06}"/>
    <dataValidation allowBlank="1" showInputMessage="1" showErrorMessage="1" prompt="For any project outputs/components with environmental impacts or risks, have the requisite national environment, health and safety clearances* and ADB environment safeguard clearances** been obtained before commencement of applicable works" sqref="CR6" xr:uid="{51848CC6-8B3D-468B-8526-709864D31B77}"/>
    <dataValidation allowBlank="1" showInputMessage="1" showErrorMessage="1" prompt="For any project outputs/components, are there any civil works contracts that have been awarded by the borrower without ADB’s clearance of final, detailed-engineering design based IPP(s)? " sqref="CQ6" xr:uid="{FD3AFAAC-08E4-4826-AC89-0351C62477B7}"/>
    <dataValidation allowBlank="1" showInputMessage="1" showErrorMessage="1" prompt="For any project outputs/ components, are there any civil works contracts that have been awarded by the borrower without ADB’s clearance of final, detailed-engineering design- based RP(s)?" sqref="CP6" xr:uid="{F8D4C157-7BB5-4343-83BA-0B058582F813}"/>
    <dataValidation allowBlank="1" showInputMessage="1" showErrorMessage="1" prompt="For any proj outputs/components w/ environmental impacts or risks, are there any works contracts that have been awarded by the borrower w/o EMPs* cleared by ADB &amp; any conditions of any nat'l EIA/IEE clearance incorporated into the bid &amp; contract docs?" sqref="CO6" xr:uid="{83C40A9E-E5F6-4CD7-9650-E4E664DB1CA4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AH392"/>
  <sheetViews>
    <sheetView showGridLines="0" zoomScale="70" zoomScaleNormal="70" workbookViewId="0"/>
  </sheetViews>
  <sheetFormatPr defaultColWidth="12.77734375" defaultRowHeight="13.2" x14ac:dyDescent="0.25"/>
  <cols>
    <col min="1" max="1" width="2.21875" style="301" bestFit="1" customWidth="1"/>
    <col min="2" max="4" width="14.77734375" style="4" customWidth="1"/>
    <col min="5" max="5" width="14.77734375" style="13" customWidth="1"/>
    <col min="6" max="11" width="14.77734375" style="4" customWidth="1"/>
    <col min="12" max="19" width="13.77734375" style="4" customWidth="1"/>
    <col min="20" max="21" width="12.21875" style="4" bestFit="1" customWidth="1"/>
    <col min="22" max="22" width="13.77734375" style="4" customWidth="1"/>
    <col min="23" max="16384" width="12.77734375" style="4"/>
  </cols>
  <sheetData>
    <row r="1" spans="1:25" x14ac:dyDescent="0.25">
      <c r="E1" s="4"/>
    </row>
    <row r="2" spans="1:25" ht="15.6" customHeight="1" x14ac:dyDescent="0.25">
      <c r="A2" s="4"/>
      <c r="B2" s="332" t="s">
        <v>251</v>
      </c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</row>
    <row r="3" spans="1:25" x14ac:dyDescent="0.25">
      <c r="A3" s="4"/>
      <c r="B3" s="6"/>
      <c r="C3" s="7"/>
      <c r="D3" s="7"/>
      <c r="E3" s="7"/>
      <c r="F3" s="7"/>
      <c r="G3" s="7"/>
      <c r="H3" s="7"/>
    </row>
    <row r="4" spans="1:25" x14ac:dyDescent="0.25">
      <c r="A4" s="4"/>
      <c r="B4" s="7"/>
      <c r="C4" s="7"/>
      <c r="D4" s="7"/>
      <c r="E4" s="7"/>
      <c r="G4" s="8" t="s">
        <v>0</v>
      </c>
      <c r="H4" s="9"/>
    </row>
    <row r="5" spans="1:25" x14ac:dyDescent="0.25">
      <c r="A5" s="4"/>
      <c r="E5" s="4"/>
    </row>
    <row r="6" spans="1:25" s="1" customFormat="1" x14ac:dyDescent="0.25">
      <c r="B6" s="10" t="s">
        <v>1</v>
      </c>
      <c r="C6" s="10"/>
      <c r="D6" s="11"/>
      <c r="E6" s="11"/>
      <c r="F6" s="11"/>
      <c r="G6" s="11"/>
      <c r="H6" s="11"/>
      <c r="I6" s="10" t="s">
        <v>2</v>
      </c>
      <c r="K6" s="11"/>
      <c r="L6" s="11"/>
      <c r="M6" s="11"/>
      <c r="N6" s="11"/>
      <c r="O6" s="11"/>
    </row>
    <row r="7" spans="1:25" s="1" customFormat="1" x14ac:dyDescent="0.25">
      <c r="B7" s="10" t="s">
        <v>3</v>
      </c>
      <c r="C7" s="10"/>
      <c r="D7" s="11"/>
      <c r="E7" s="11"/>
      <c r="F7" s="11"/>
      <c r="G7" s="11"/>
      <c r="H7" s="11"/>
      <c r="I7" s="10" t="s">
        <v>4</v>
      </c>
      <c r="K7" s="11"/>
      <c r="L7" s="11"/>
      <c r="M7" s="11"/>
      <c r="N7" s="11"/>
      <c r="O7" s="11"/>
    </row>
    <row r="8" spans="1:25" s="1" customFormat="1" x14ac:dyDescent="0.25">
      <c r="B8" s="10" t="s">
        <v>5</v>
      </c>
      <c r="C8" s="10"/>
      <c r="D8" s="11"/>
      <c r="E8" s="11"/>
      <c r="F8" s="11"/>
      <c r="G8" s="11"/>
      <c r="H8" s="11"/>
      <c r="I8" s="10" t="s">
        <v>6</v>
      </c>
      <c r="K8" s="11"/>
      <c r="L8" s="11"/>
      <c r="M8" s="11"/>
      <c r="N8" s="11"/>
      <c r="O8" s="11"/>
    </row>
    <row r="9" spans="1:25" s="1" customFormat="1" x14ac:dyDescent="0.25">
      <c r="B9" s="10" t="s">
        <v>7</v>
      </c>
      <c r="C9" s="10"/>
      <c r="D9" s="11"/>
      <c r="E9" s="11"/>
      <c r="F9" s="11"/>
      <c r="G9" s="11"/>
      <c r="H9" s="11"/>
      <c r="I9" s="10" t="s">
        <v>8</v>
      </c>
      <c r="K9" s="11"/>
      <c r="L9" s="11"/>
      <c r="M9" s="11"/>
      <c r="N9" s="11"/>
      <c r="O9" s="11"/>
    </row>
    <row r="10" spans="1:25" s="1" customFormat="1" x14ac:dyDescent="0.25">
      <c r="B10" s="10" t="s">
        <v>9</v>
      </c>
      <c r="C10" s="10"/>
      <c r="D10" s="11"/>
      <c r="E10" s="10" t="s">
        <v>10</v>
      </c>
      <c r="G10" s="11"/>
      <c r="H10" s="11"/>
      <c r="I10" s="10" t="s">
        <v>11</v>
      </c>
      <c r="K10" s="11"/>
      <c r="L10" s="11"/>
      <c r="M10" s="11"/>
      <c r="N10" s="11"/>
      <c r="O10" s="11"/>
    </row>
    <row r="11" spans="1:25" x14ac:dyDescent="0.25">
      <c r="A11" s="4"/>
      <c r="B11" s="10"/>
      <c r="C11" s="1"/>
      <c r="D11" s="1"/>
      <c r="E11" s="4"/>
      <c r="F11" s="10"/>
      <c r="G11" s="10"/>
      <c r="H11" s="10"/>
    </row>
    <row r="12" spans="1:25" x14ac:dyDescent="0.25">
      <c r="A12" s="301" t="s">
        <v>490</v>
      </c>
      <c r="B12" s="10" t="s">
        <v>12</v>
      </c>
      <c r="C12" s="1"/>
      <c r="D12" s="12"/>
      <c r="F12" s="10"/>
      <c r="G12" s="10"/>
      <c r="H12" s="10"/>
      <c r="I12" s="6"/>
    </row>
    <row r="13" spans="1:25" ht="39.6" customHeight="1" x14ac:dyDescent="0.25">
      <c r="A13" s="301" t="s">
        <v>490</v>
      </c>
      <c r="B13" s="3" t="s">
        <v>13</v>
      </c>
      <c r="C13" s="3" t="s">
        <v>14</v>
      </c>
      <c r="D13" s="3" t="s">
        <v>15</v>
      </c>
      <c r="E13" s="4"/>
      <c r="F13" s="3" t="s">
        <v>250</v>
      </c>
      <c r="H13" s="3" t="s">
        <v>26</v>
      </c>
      <c r="I13" s="3" t="s">
        <v>27</v>
      </c>
      <c r="J13" s="3" t="s">
        <v>28</v>
      </c>
      <c r="K13" s="3" t="s">
        <v>29</v>
      </c>
      <c r="O13" s="4" t="s">
        <v>16</v>
      </c>
    </row>
    <row r="14" spans="1:25" x14ac:dyDescent="0.25">
      <c r="A14" s="4"/>
      <c r="B14" s="92"/>
      <c r="C14" s="92"/>
      <c r="D14" s="92"/>
      <c r="E14" s="14"/>
      <c r="F14" s="93" t="str">
        <f>IF(J18="-","",MAX(J18:J21)+365)</f>
        <v/>
      </c>
      <c r="G14" s="1"/>
      <c r="H14" s="94"/>
      <c r="I14" s="94"/>
      <c r="J14" s="94"/>
      <c r="K14" s="94"/>
    </row>
    <row r="15" spans="1:25" x14ac:dyDescent="0.25">
      <c r="A15" s="301" t="s">
        <v>490</v>
      </c>
      <c r="B15" s="14"/>
      <c r="C15" s="14"/>
      <c r="D15" s="14"/>
      <c r="E15" s="14"/>
      <c r="F15" s="14"/>
      <c r="G15" s="1"/>
      <c r="H15" s="1"/>
    </row>
    <row r="16" spans="1:25" ht="14.25" customHeight="1" x14ac:dyDescent="0.25">
      <c r="A16" s="301" t="s">
        <v>490</v>
      </c>
      <c r="B16" s="387" t="s">
        <v>17</v>
      </c>
      <c r="C16" s="387" t="s">
        <v>18</v>
      </c>
      <c r="D16" s="387" t="s">
        <v>20</v>
      </c>
      <c r="E16" s="387" t="s">
        <v>21</v>
      </c>
      <c r="F16" s="387" t="s">
        <v>22</v>
      </c>
      <c r="G16" s="387" t="s">
        <v>23</v>
      </c>
      <c r="H16" s="387"/>
      <c r="I16" s="387" t="s">
        <v>144</v>
      </c>
      <c r="J16" s="387" t="s">
        <v>222</v>
      </c>
      <c r="K16" s="397" t="s">
        <v>19</v>
      </c>
      <c r="L16" s="387"/>
      <c r="M16" s="387"/>
      <c r="N16" s="387"/>
      <c r="O16" s="387"/>
      <c r="P16" s="387"/>
      <c r="Q16" s="387"/>
      <c r="R16" s="387"/>
      <c r="S16" s="387"/>
      <c r="T16" s="387"/>
      <c r="U16" s="387"/>
      <c r="V16" s="387"/>
      <c r="W16" s="387"/>
      <c r="X16" s="387"/>
      <c r="Y16" s="387" t="s">
        <v>117</v>
      </c>
    </row>
    <row r="17" spans="1:25" x14ac:dyDescent="0.25">
      <c r="A17" s="301" t="s">
        <v>490</v>
      </c>
      <c r="B17" s="387"/>
      <c r="C17" s="387"/>
      <c r="D17" s="387"/>
      <c r="E17" s="387"/>
      <c r="F17" s="387"/>
      <c r="G17" s="3" t="s">
        <v>24</v>
      </c>
      <c r="H17" s="3" t="s">
        <v>25</v>
      </c>
      <c r="I17" s="387"/>
      <c r="J17" s="387"/>
      <c r="K17" s="96" t="s">
        <v>24</v>
      </c>
      <c r="L17" s="96" t="s">
        <v>225</v>
      </c>
      <c r="M17" s="387" t="s">
        <v>226</v>
      </c>
      <c r="N17" s="387"/>
      <c r="O17" s="387" t="s">
        <v>227</v>
      </c>
      <c r="P17" s="387"/>
      <c r="Q17" s="387" t="s">
        <v>57</v>
      </c>
      <c r="R17" s="387"/>
      <c r="S17" s="387" t="s">
        <v>228</v>
      </c>
      <c r="T17" s="387"/>
      <c r="U17" s="387" t="s">
        <v>229</v>
      </c>
      <c r="V17" s="387"/>
      <c r="W17" s="387" t="s">
        <v>230</v>
      </c>
      <c r="X17" s="387"/>
      <c r="Y17" s="387"/>
    </row>
    <row r="18" spans="1:25" x14ac:dyDescent="0.25">
      <c r="A18" s="4"/>
      <c r="B18" s="15"/>
      <c r="C18" s="15"/>
      <c r="D18" s="16"/>
      <c r="E18" s="16"/>
      <c r="F18" s="16"/>
      <c r="G18" s="16"/>
      <c r="H18" s="16"/>
      <c r="I18" s="17"/>
      <c r="J18" s="105" t="str">
        <f>IF(ISBLANK(B18),"-",IF(H18="",G18+180,H18+180))</f>
        <v>-</v>
      </c>
      <c r="K18" s="107"/>
      <c r="L18" s="107"/>
      <c r="M18" s="107">
        <f>IF(ISBLANK($B18),0,SUMIFS($U$130:$U$144,$B$130:$B$144,$B18))</f>
        <v>0</v>
      </c>
      <c r="N18" s="175">
        <f>IF(ISBLANK($B18),0,(IF(ISBLANK($L18),IF($K18&gt;0,M18/$K18,0),IF($L18&gt;0,M18/$L18,0))))</f>
        <v>0</v>
      </c>
      <c r="O18" s="107">
        <f>IF(ISBLANK(B18),0,L18-SUMIFS($U$130:$U$144,$B$130:$B$144,$B18))</f>
        <v>0</v>
      </c>
      <c r="P18" s="175">
        <f>IF(ISBLANK(B18),0,(IF(ISBLANK(L18),IF(K18&gt;0,O18/K18,0),IF(L18&gt;0,O18/L18,0))))</f>
        <v>0</v>
      </c>
      <c r="Q18" s="107">
        <f>IF(ISBLANK($B18),0,SUMIFS($T$130:$T$144,$B$130:$B$144,$B18))</f>
        <v>0</v>
      </c>
      <c r="R18" s="175">
        <f>IF(ISBLANK($B18),0,(IF(ISBLANK($L18),IF($K18&gt;0,Q18/$K18,0),IF($L18&gt;0,M18/$L18,0))))</f>
        <v>0</v>
      </c>
      <c r="S18" s="107">
        <f>IF(ISBLANK(B18),0,L18-SUMIFS($T$130:$T$144,$B$130:$B$144,$B18))</f>
        <v>0</v>
      </c>
      <c r="T18" s="175">
        <f>IF(ISBLANK(B18),0,(IF(ISBLANK(L18),IF(K18&gt;0,S18/K18,0),IF(L18&gt;0,S18/L18,0))))</f>
        <v>0</v>
      </c>
      <c r="U18" s="107">
        <f>IF(ISBLANK($B18),0,SUMIFS($L$130:$L$144,$B$130:$B$144,$B18))</f>
        <v>0</v>
      </c>
      <c r="V18" s="175">
        <f>IF(ISBLANK(B18),0,(IF(ISBLANK(L18),IF(K18&gt;0,U18/K18,0),IF(L18&gt;0,U18/L18,0))))</f>
        <v>0</v>
      </c>
      <c r="W18" s="176">
        <f>IF(ISBLANK(B18),0,(IF(ISBLANK($L18),$K18-SUMIFS($B$130:$B$143,$L$130:$L$143,$B18),$L18-SUMIFS($L$130:$L$143,$B$130:$B$143,$B18))))</f>
        <v>0</v>
      </c>
      <c r="X18" s="175">
        <f>IF(ISBLANK(B18),0,IF(OR(ISBLANK(L18),L18=0),W18/K18,W18/L18))</f>
        <v>0</v>
      </c>
      <c r="Y18" s="251"/>
    </row>
    <row r="19" spans="1:25" x14ac:dyDescent="0.25">
      <c r="A19" s="4"/>
      <c r="B19" s="15"/>
      <c r="C19" s="15"/>
      <c r="D19" s="16"/>
      <c r="E19" s="16"/>
      <c r="F19" s="16"/>
      <c r="G19" s="16"/>
      <c r="H19" s="16"/>
      <c r="I19" s="17"/>
      <c r="J19" s="105" t="str">
        <f>IF(ISBLANK(B19),"-",IF(H19="",G19+180,H19+180))</f>
        <v>-</v>
      </c>
      <c r="K19" s="106"/>
      <c r="L19" s="107"/>
      <c r="M19" s="107">
        <f t="shared" ref="M19:M21" si="0">IF(ISBLANK($B19),0,SUMIFS($U$130:$U$144,$B$130:$B$144,$B19))</f>
        <v>0</v>
      </c>
      <c r="N19" s="175">
        <f t="shared" ref="N19:N21" si="1">IF(ISBLANK($B19),0,(IF(ISBLANK($L19),IF($K19&gt;0,M19/$K19,0),IF($L19&gt;0,M19/$L19,0))))</f>
        <v>0</v>
      </c>
      <c r="O19" s="107">
        <f t="shared" ref="O19:O21" si="2">IF(ISBLANK(B19),0,L19-SUMIFS($U$130:$U$144,$B$130:$B$144,$B19))</f>
        <v>0</v>
      </c>
      <c r="P19" s="175">
        <f t="shared" ref="P19:P21" si="3">IF(ISBLANK(B19),0,(IF(ISBLANK(L19),IF(K19&gt;0,O19/K19,0),IF(L19&gt;0,O19/L19,0))))</f>
        <v>0</v>
      </c>
      <c r="Q19" s="107">
        <f t="shared" ref="Q19:Q21" si="4">IF(ISBLANK($B19),0,SUMIFS($T$130:$T$144,$B$130:$B$144,$B19))</f>
        <v>0</v>
      </c>
      <c r="R19" s="175">
        <f t="shared" ref="R19:R21" si="5">IF(ISBLANK($B19),0,(IF(ISBLANK($L19),IF($K19&gt;0,Q19/$K19,0),IF($L19&gt;0,M19/$L19,0))))</f>
        <v>0</v>
      </c>
      <c r="S19" s="107">
        <f t="shared" ref="S19:S21" si="6">IF(ISBLANK(B19),0,L19-SUMIFS($T$130:$T$144,$B$130:$B$144,$B19))</f>
        <v>0</v>
      </c>
      <c r="T19" s="175">
        <f t="shared" ref="T19:T21" si="7">IF(ISBLANK(B19),0,(IF(ISBLANK(L19),IF(K19&gt;0,S19/K19,0),IF(L19&gt;0,S19/L19,0))))</f>
        <v>0</v>
      </c>
      <c r="U19" s="107">
        <f>IF(ISBLANK($B19),0,SUMIFS($L$130:$L$144,$B$130:$B$144,$B19))</f>
        <v>0</v>
      </c>
      <c r="V19" s="175">
        <f>IF(ISBLANK(B19),0,(IF(ISBLANK(L19),IF(K19&gt;0,U19/K19,0),IF(L19&gt;0,U19/L19,0))))</f>
        <v>0</v>
      </c>
      <c r="W19" s="176">
        <f t="shared" ref="W19:W21" si="8">IF(ISBLANK(B19),0,(IF(ISBLANK($L19),$K19-SUMIFS($B$130:$B$143,$L$130:$L$143,$B19),$L19-SUMIFS($L$130:$L$143,$B$130:$B$143,$B19))))</f>
        <v>0</v>
      </c>
      <c r="X19" s="175">
        <f t="shared" ref="X19:X21" si="9">IF(ISBLANK(B19),0,IF(OR(ISBLANK(L19),L19=0),W19/K19,W19/L19))</f>
        <v>0</v>
      </c>
      <c r="Y19" s="252"/>
    </row>
    <row r="20" spans="1:25" x14ac:dyDescent="0.25">
      <c r="A20" s="4"/>
      <c r="B20" s="15"/>
      <c r="C20" s="15"/>
      <c r="D20" s="16"/>
      <c r="E20" s="16"/>
      <c r="F20" s="16"/>
      <c r="G20" s="16"/>
      <c r="H20" s="16"/>
      <c r="I20" s="17"/>
      <c r="J20" s="105" t="str">
        <f>IF(ISBLANK(B20),"-",IF(H20="",G20+180,H20+180))</f>
        <v>-</v>
      </c>
      <c r="K20" s="106"/>
      <c r="L20" s="107"/>
      <c r="M20" s="107">
        <f t="shared" si="0"/>
        <v>0</v>
      </c>
      <c r="N20" s="175">
        <f t="shared" si="1"/>
        <v>0</v>
      </c>
      <c r="O20" s="107">
        <f t="shared" si="2"/>
        <v>0</v>
      </c>
      <c r="P20" s="175">
        <f t="shared" si="3"/>
        <v>0</v>
      </c>
      <c r="Q20" s="107">
        <f t="shared" si="4"/>
        <v>0</v>
      </c>
      <c r="R20" s="175">
        <f t="shared" si="5"/>
        <v>0</v>
      </c>
      <c r="S20" s="107">
        <f t="shared" si="6"/>
        <v>0</v>
      </c>
      <c r="T20" s="175">
        <f t="shared" si="7"/>
        <v>0</v>
      </c>
      <c r="U20" s="107">
        <f>IF(ISBLANK($B20),0,SUMIFS($L$130:$L$144,$B$130:$B$144,$B20))</f>
        <v>0</v>
      </c>
      <c r="V20" s="175">
        <f>IF(ISBLANK(B20),0,(IF(ISBLANK(L20),IF(K20&gt;0,U20/K20,0),IF(L20&gt;0,U20/L20,0))))</f>
        <v>0</v>
      </c>
      <c r="W20" s="176">
        <f t="shared" si="8"/>
        <v>0</v>
      </c>
      <c r="X20" s="175">
        <f t="shared" si="9"/>
        <v>0</v>
      </c>
      <c r="Y20" s="252"/>
    </row>
    <row r="21" spans="1:25" x14ac:dyDescent="0.25">
      <c r="A21" s="4"/>
      <c r="B21" s="15"/>
      <c r="C21" s="15"/>
      <c r="D21" s="16"/>
      <c r="E21" s="16"/>
      <c r="F21" s="16"/>
      <c r="G21" s="16"/>
      <c r="H21" s="16"/>
      <c r="I21" s="17"/>
      <c r="J21" s="105" t="str">
        <f>IF(ISBLANK(B21),"-",IF(H21="",G21+180,H21+180))</f>
        <v>-</v>
      </c>
      <c r="K21" s="106"/>
      <c r="L21" s="107"/>
      <c r="M21" s="107">
        <f t="shared" si="0"/>
        <v>0</v>
      </c>
      <c r="N21" s="175">
        <f t="shared" si="1"/>
        <v>0</v>
      </c>
      <c r="O21" s="107">
        <f t="shared" si="2"/>
        <v>0</v>
      </c>
      <c r="P21" s="175">
        <f t="shared" si="3"/>
        <v>0</v>
      </c>
      <c r="Q21" s="107">
        <f t="shared" si="4"/>
        <v>0</v>
      </c>
      <c r="R21" s="175">
        <f t="shared" si="5"/>
        <v>0</v>
      </c>
      <c r="S21" s="107">
        <f t="shared" si="6"/>
        <v>0</v>
      </c>
      <c r="T21" s="175">
        <f t="shared" si="7"/>
        <v>0</v>
      </c>
      <c r="U21" s="107">
        <f>IF(ISBLANK($B21),0,SUMIFS($L$130:$L$144,$B$130:$B$144,$B21))</f>
        <v>0</v>
      </c>
      <c r="V21" s="175">
        <f>IF(ISBLANK(B21),0,(IF(ISBLANK(L21),IF(K21&gt;0,U21/K21,0),IF(L21&gt;0,U21/L21,0))))</f>
        <v>0</v>
      </c>
      <c r="W21" s="176">
        <f t="shared" si="8"/>
        <v>0</v>
      </c>
      <c r="X21" s="175">
        <f t="shared" si="9"/>
        <v>0</v>
      </c>
      <c r="Y21" s="253"/>
    </row>
    <row r="22" spans="1:25" x14ac:dyDescent="0.25">
      <c r="A22" s="301" t="s">
        <v>490</v>
      </c>
      <c r="B22" s="18"/>
      <c r="C22" s="18"/>
      <c r="D22" s="18"/>
      <c r="E22" s="1"/>
      <c r="F22" s="1"/>
      <c r="G22" s="1"/>
      <c r="H22" s="1"/>
      <c r="J22" s="104" t="s">
        <v>102</v>
      </c>
      <c r="K22" s="108">
        <f>SUM(K18:K21)</f>
        <v>0</v>
      </c>
      <c r="L22" s="108">
        <f>SUM(IF(ISBLANK(L18),K18,L18),IF(ISBLANK(L19),K19,L19),IF(ISBLANK(L20),K20,L20),IF(ISBLANK(L21),K21,L21))</f>
        <v>0</v>
      </c>
      <c r="M22" s="108">
        <f>SUM(M18:M21)</f>
        <v>0</v>
      </c>
      <c r="N22" s="109">
        <f>IF($L22&gt;0,SUM(M18:M21)/$L22,0)</f>
        <v>0</v>
      </c>
      <c r="O22" s="108">
        <f>SUM(O18:O21)</f>
        <v>0</v>
      </c>
      <c r="P22" s="109">
        <f>IF(L22&gt;0,SUM(O18:O21)/L22,0)</f>
        <v>0</v>
      </c>
      <c r="Q22" s="143">
        <f>SUM(Q18:Q21)</f>
        <v>0</v>
      </c>
      <c r="R22" s="109">
        <f>IF($L22&gt;0,SUM(Q18:Q21)/$L22,0)</f>
        <v>0</v>
      </c>
      <c r="S22" s="110">
        <f>SUM(S18:S21)</f>
        <v>0</v>
      </c>
      <c r="T22" s="109">
        <f>IF(L22&gt;0,SUM(S18:S21)/L22,0)</f>
        <v>0</v>
      </c>
      <c r="U22" s="111">
        <f>SUM(U18:U21)</f>
        <v>0</v>
      </c>
      <c r="V22" s="109">
        <f>IF($L22&gt;0,SUM(U18:U21)/$L22,0)</f>
        <v>0</v>
      </c>
      <c r="W22" s="112">
        <f>SUM(W18:W21)</f>
        <v>0</v>
      </c>
      <c r="X22" s="109">
        <f>IF(L22&gt;0,SUM(W18:W21)/L22,0)</f>
        <v>0</v>
      </c>
      <c r="Y22" s="254"/>
    </row>
    <row r="23" spans="1:25" x14ac:dyDescent="0.25">
      <c r="A23" s="301" t="s">
        <v>490</v>
      </c>
      <c r="B23" s="10" t="s">
        <v>30</v>
      </c>
      <c r="C23" s="18"/>
      <c r="D23" s="18"/>
      <c r="E23" s="1"/>
      <c r="F23" s="1"/>
      <c r="G23" s="1"/>
      <c r="H23" s="1"/>
    </row>
    <row r="24" spans="1:25" ht="15" customHeight="1" x14ac:dyDescent="0.25">
      <c r="A24" s="301" t="s">
        <v>490</v>
      </c>
      <c r="B24" s="395" t="s">
        <v>31</v>
      </c>
      <c r="C24" s="396"/>
      <c r="D24" s="396"/>
      <c r="E24" s="396"/>
      <c r="F24" s="396"/>
      <c r="G24" s="396"/>
      <c r="H24" s="396"/>
    </row>
    <row r="25" spans="1:25" ht="39.6" customHeight="1" x14ac:dyDescent="0.25">
      <c r="A25" s="301" t="s">
        <v>490</v>
      </c>
      <c r="B25" s="95" t="s">
        <v>32</v>
      </c>
      <c r="C25" s="96" t="s">
        <v>33</v>
      </c>
      <c r="D25" s="3" t="s">
        <v>34</v>
      </c>
      <c r="E25" s="3" t="s">
        <v>35</v>
      </c>
      <c r="F25" s="3" t="s">
        <v>36</v>
      </c>
      <c r="G25" s="96" t="s">
        <v>37</v>
      </c>
      <c r="H25" s="96" t="s">
        <v>38</v>
      </c>
      <c r="K25" s="19"/>
    </row>
    <row r="26" spans="1:25" ht="13.2" customHeight="1" x14ac:dyDescent="0.25">
      <c r="A26" s="4"/>
      <c r="B26" s="97" t="s">
        <v>39</v>
      </c>
      <c r="C26" s="98"/>
      <c r="D26" s="99">
        <f>C39</f>
        <v>0</v>
      </c>
      <c r="E26" s="99">
        <f>C44</f>
        <v>0</v>
      </c>
      <c r="F26" s="98"/>
      <c r="G26" s="98"/>
      <c r="H26" s="98"/>
      <c r="K26" s="19"/>
    </row>
    <row r="27" spans="1:25" ht="26.4" customHeight="1" x14ac:dyDescent="0.25">
      <c r="A27" s="4"/>
      <c r="B27" s="100" t="s">
        <v>246</v>
      </c>
      <c r="C27" s="350"/>
      <c r="D27" s="351"/>
      <c r="E27" s="351"/>
      <c r="F27" s="351"/>
      <c r="G27" s="351"/>
      <c r="H27" s="351"/>
      <c r="K27" s="19"/>
    </row>
    <row r="28" spans="1:25" x14ac:dyDescent="0.25">
      <c r="A28" s="301" t="s">
        <v>490</v>
      </c>
      <c r="B28" s="24"/>
      <c r="C28" s="25"/>
      <c r="D28" s="26"/>
      <c r="E28" s="26"/>
      <c r="F28" s="27"/>
      <c r="G28" s="26"/>
      <c r="H28" s="26"/>
      <c r="K28" s="19"/>
    </row>
    <row r="29" spans="1:25" x14ac:dyDescent="0.25">
      <c r="A29" s="301" t="s">
        <v>490</v>
      </c>
      <c r="B29" s="10" t="s">
        <v>40</v>
      </c>
      <c r="C29" s="25"/>
      <c r="D29" s="26"/>
      <c r="E29" s="26"/>
      <c r="F29" s="27"/>
      <c r="G29" s="26"/>
      <c r="H29" s="26"/>
      <c r="K29" s="19"/>
    </row>
    <row r="30" spans="1:25" x14ac:dyDescent="0.25">
      <c r="A30" s="301" t="s">
        <v>490</v>
      </c>
      <c r="B30" s="354" t="s">
        <v>41</v>
      </c>
      <c r="C30" s="344"/>
      <c r="D30" s="344"/>
      <c r="E30" s="344"/>
      <c r="F30" s="101" t="s">
        <v>42</v>
      </c>
      <c r="G30" s="26"/>
      <c r="H30" s="26"/>
      <c r="K30" s="19"/>
    </row>
    <row r="31" spans="1:25" x14ac:dyDescent="0.25">
      <c r="A31" s="301" t="s">
        <v>490</v>
      </c>
      <c r="B31" s="90" t="s">
        <v>43</v>
      </c>
      <c r="C31" s="101" t="s">
        <v>44</v>
      </c>
      <c r="D31" s="90" t="s">
        <v>45</v>
      </c>
      <c r="E31" s="101" t="s">
        <v>46</v>
      </c>
      <c r="F31" s="101" t="s">
        <v>47</v>
      </c>
      <c r="G31" s="26"/>
      <c r="H31" s="26"/>
      <c r="K31" s="19"/>
    </row>
    <row r="32" spans="1:25" x14ac:dyDescent="0.25">
      <c r="A32" s="4"/>
      <c r="B32" s="20"/>
      <c r="C32" s="20"/>
      <c r="D32" s="20"/>
      <c r="E32" s="20"/>
      <c r="F32" s="20"/>
      <c r="G32" s="26"/>
      <c r="H32" s="26"/>
      <c r="K32" s="19"/>
    </row>
    <row r="33" spans="1:20" x14ac:dyDescent="0.25">
      <c r="A33" s="301" t="s">
        <v>490</v>
      </c>
      <c r="B33" s="24"/>
      <c r="C33" s="25"/>
      <c r="D33" s="26"/>
      <c r="E33" s="26"/>
      <c r="F33" s="27"/>
      <c r="G33" s="26"/>
      <c r="H33" s="26"/>
      <c r="K33" s="19"/>
    </row>
    <row r="34" spans="1:20" x14ac:dyDescent="0.25">
      <c r="A34" s="301" t="s">
        <v>490</v>
      </c>
      <c r="B34" s="10" t="s">
        <v>48</v>
      </c>
      <c r="C34" s="28"/>
      <c r="D34" s="28"/>
      <c r="E34" s="28"/>
      <c r="F34" s="28"/>
      <c r="G34" s="28"/>
      <c r="H34" s="28"/>
      <c r="K34" s="19"/>
    </row>
    <row r="35" spans="1:20" x14ac:dyDescent="0.25">
      <c r="A35" s="301" t="s">
        <v>490</v>
      </c>
      <c r="B35" s="348" t="s">
        <v>49</v>
      </c>
      <c r="C35" s="354" t="s">
        <v>50</v>
      </c>
      <c r="D35" s="354" t="s">
        <v>51</v>
      </c>
      <c r="E35" s="344"/>
      <c r="F35" s="354" t="s">
        <v>52</v>
      </c>
      <c r="G35" s="344"/>
      <c r="H35" s="354" t="s">
        <v>53</v>
      </c>
      <c r="I35" s="344"/>
      <c r="J35" s="354" t="s">
        <v>54</v>
      </c>
      <c r="K35" s="344"/>
      <c r="L35" s="354" t="s">
        <v>55</v>
      </c>
      <c r="M35" s="344"/>
    </row>
    <row r="36" spans="1:20" x14ac:dyDescent="0.25">
      <c r="A36" s="301" t="s">
        <v>490</v>
      </c>
      <c r="B36" s="344"/>
      <c r="C36" s="344"/>
      <c r="D36" s="90" t="s">
        <v>56</v>
      </c>
      <c r="E36" s="90" t="s">
        <v>57</v>
      </c>
      <c r="F36" s="90" t="s">
        <v>56</v>
      </c>
      <c r="G36" s="90" t="s">
        <v>57</v>
      </c>
      <c r="H36" s="90" t="s">
        <v>56</v>
      </c>
      <c r="I36" s="90" t="s">
        <v>57</v>
      </c>
      <c r="J36" s="90" t="s">
        <v>56</v>
      </c>
      <c r="K36" s="90" t="s">
        <v>57</v>
      </c>
      <c r="L36" s="90" t="s">
        <v>56</v>
      </c>
      <c r="M36" s="90" t="s">
        <v>57</v>
      </c>
    </row>
    <row r="37" spans="1:20" x14ac:dyDescent="0.25">
      <c r="A37" s="4"/>
      <c r="B37" s="29" t="s">
        <v>58</v>
      </c>
      <c r="C37" s="30"/>
      <c r="D37" s="31"/>
      <c r="E37" s="31"/>
      <c r="F37" s="32"/>
      <c r="G37" s="31"/>
      <c r="H37" s="32"/>
      <c r="I37" s="31"/>
      <c r="J37" s="32"/>
      <c r="K37" s="31"/>
      <c r="L37" s="33"/>
      <c r="M37" s="34"/>
    </row>
    <row r="38" spans="1:20" x14ac:dyDescent="0.25">
      <c r="A38" s="4"/>
      <c r="B38" s="29" t="s">
        <v>59</v>
      </c>
      <c r="C38" s="35"/>
      <c r="D38" s="349"/>
      <c r="E38" s="339"/>
      <c r="F38" s="353"/>
      <c r="G38" s="339"/>
      <c r="H38" s="353"/>
      <c r="I38" s="339"/>
      <c r="J38" s="353"/>
      <c r="K38" s="339"/>
      <c r="L38" s="382"/>
      <c r="M38" s="356"/>
    </row>
    <row r="39" spans="1:20" x14ac:dyDescent="0.25">
      <c r="A39" s="4"/>
      <c r="B39" s="29" t="s">
        <v>60</v>
      </c>
      <c r="C39" s="21">
        <f>IFERROR(C38/C37,0)</f>
        <v>0</v>
      </c>
      <c r="D39" s="21">
        <f>IFERROR(D38/D37,0)</f>
        <v>0</v>
      </c>
      <c r="E39" s="21">
        <f>IFERROR(D38/E37,0)</f>
        <v>0</v>
      </c>
      <c r="F39" s="21">
        <f>IFERROR(F38/F37,0)</f>
        <v>0</v>
      </c>
      <c r="G39" s="21">
        <f>IFERROR(F38/G37,0)</f>
        <v>0</v>
      </c>
      <c r="H39" s="21">
        <f>IFERROR(H38/H37,0)</f>
        <v>0</v>
      </c>
      <c r="I39" s="21">
        <f>IFERROR(H38/I37,0)</f>
        <v>0</v>
      </c>
      <c r="J39" s="21">
        <f>IFERROR(J38/J37,0)</f>
        <v>0</v>
      </c>
      <c r="K39" s="21">
        <f>IFERROR(J38/K37,0)</f>
        <v>0</v>
      </c>
      <c r="L39" s="21">
        <f>IFERROR(L38/L37,0)</f>
        <v>0</v>
      </c>
      <c r="M39" s="21">
        <f>IFERROR(L38/M37,0)</f>
        <v>0</v>
      </c>
    </row>
    <row r="40" spans="1:20" x14ac:dyDescent="0.25">
      <c r="A40" s="301" t="s">
        <v>490</v>
      </c>
      <c r="B40" s="348" t="s">
        <v>61</v>
      </c>
      <c r="C40" s="354" t="s">
        <v>50</v>
      </c>
      <c r="D40" s="354" t="s">
        <v>51</v>
      </c>
      <c r="E40" s="344"/>
      <c r="F40" s="354" t="s">
        <v>52</v>
      </c>
      <c r="G40" s="344"/>
      <c r="H40" s="354" t="s">
        <v>53</v>
      </c>
      <c r="I40" s="344"/>
      <c r="J40" s="354" t="s">
        <v>54</v>
      </c>
      <c r="K40" s="344"/>
      <c r="L40" s="354" t="s">
        <v>55</v>
      </c>
      <c r="M40" s="344"/>
    </row>
    <row r="41" spans="1:20" ht="13.8" customHeight="1" x14ac:dyDescent="0.25">
      <c r="A41" s="301" t="s">
        <v>490</v>
      </c>
      <c r="B41" s="344"/>
      <c r="C41" s="344"/>
      <c r="D41" s="90" t="s">
        <v>56</v>
      </c>
      <c r="E41" s="90" t="s">
        <v>57</v>
      </c>
      <c r="F41" s="90" t="s">
        <v>56</v>
      </c>
      <c r="G41" s="90" t="s">
        <v>57</v>
      </c>
      <c r="H41" s="90" t="s">
        <v>56</v>
      </c>
      <c r="I41" s="90" t="s">
        <v>57</v>
      </c>
      <c r="J41" s="90" t="s">
        <v>56</v>
      </c>
      <c r="K41" s="90" t="s">
        <v>57</v>
      </c>
      <c r="L41" s="90" t="s">
        <v>56</v>
      </c>
      <c r="M41" s="90" t="s">
        <v>57</v>
      </c>
    </row>
    <row r="42" spans="1:20" x14ac:dyDescent="0.25">
      <c r="A42" s="4"/>
      <c r="B42" s="29" t="s">
        <v>58</v>
      </c>
      <c r="C42" s="36"/>
      <c r="D42" s="31"/>
      <c r="E42" s="31"/>
      <c r="F42" s="32"/>
      <c r="G42" s="31"/>
      <c r="H42" s="32"/>
      <c r="I42" s="31"/>
      <c r="J42" s="32"/>
      <c r="K42" s="31"/>
      <c r="L42" s="33"/>
      <c r="M42" s="34"/>
    </row>
    <row r="43" spans="1:20" x14ac:dyDescent="0.25">
      <c r="A43" s="4"/>
      <c r="B43" s="29" t="s">
        <v>59</v>
      </c>
      <c r="C43" s="37"/>
      <c r="D43" s="349"/>
      <c r="E43" s="339"/>
      <c r="F43" s="353"/>
      <c r="G43" s="339"/>
      <c r="H43" s="353"/>
      <c r="I43" s="339"/>
      <c r="J43" s="353"/>
      <c r="K43" s="339"/>
      <c r="L43" s="382"/>
      <c r="M43" s="356"/>
    </row>
    <row r="44" spans="1:20" x14ac:dyDescent="0.25">
      <c r="A44" s="4"/>
      <c r="B44" s="29" t="s">
        <v>60</v>
      </c>
      <c r="C44" s="21">
        <f>IFERROR(C43/C42,0)</f>
        <v>0</v>
      </c>
      <c r="D44" s="21">
        <f>IFERROR(D43/D42,0)</f>
        <v>0</v>
      </c>
      <c r="E44" s="21">
        <f>IFERROR(D43/E42,0)</f>
        <v>0</v>
      </c>
      <c r="F44" s="21">
        <f>IFERROR(F43/F42,0)</f>
        <v>0</v>
      </c>
      <c r="G44" s="21">
        <f>IFERROR(F43/G42,0)</f>
        <v>0</v>
      </c>
      <c r="H44" s="21">
        <f>IFERROR(H43/H42,0)</f>
        <v>0</v>
      </c>
      <c r="I44" s="21">
        <f>IFERROR(H43/I42,0)</f>
        <v>0</v>
      </c>
      <c r="J44" s="21">
        <f>IFERROR(J43/J42,0)</f>
        <v>0</v>
      </c>
      <c r="K44" s="21">
        <f>IFERROR(J43/K42,0)</f>
        <v>0</v>
      </c>
      <c r="L44" s="21">
        <f>IFERROR(L43/L42,0)</f>
        <v>0</v>
      </c>
      <c r="M44" s="21">
        <f>IFERROR(L43/M42,0)</f>
        <v>0</v>
      </c>
    </row>
    <row r="45" spans="1:20" x14ac:dyDescent="0.25">
      <c r="A45" s="301" t="s">
        <v>490</v>
      </c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</row>
    <row r="46" spans="1:20" x14ac:dyDescent="0.25">
      <c r="A46" s="301" t="s">
        <v>490</v>
      </c>
      <c r="B46" s="10" t="s">
        <v>191</v>
      </c>
      <c r="C46" s="28"/>
      <c r="D46" s="28"/>
      <c r="E46" s="28"/>
      <c r="F46" s="28"/>
      <c r="G46" s="28"/>
      <c r="H46" s="28"/>
      <c r="K46" s="19"/>
    </row>
    <row r="47" spans="1:20" x14ac:dyDescent="0.25">
      <c r="A47" s="301" t="s">
        <v>490</v>
      </c>
      <c r="B47" s="345" t="s">
        <v>62</v>
      </c>
      <c r="C47" s="306" t="s">
        <v>63</v>
      </c>
      <c r="D47" s="306" t="s">
        <v>64</v>
      </c>
      <c r="E47" s="306" t="s">
        <v>65</v>
      </c>
      <c r="F47" s="306" t="s">
        <v>66</v>
      </c>
      <c r="G47" s="306" t="s">
        <v>67</v>
      </c>
      <c r="H47" s="306" t="s">
        <v>68</v>
      </c>
      <c r="I47" s="306" t="s">
        <v>69</v>
      </c>
      <c r="J47" s="306" t="s">
        <v>67</v>
      </c>
      <c r="K47" s="306" t="s">
        <v>70</v>
      </c>
      <c r="L47" s="307" t="s">
        <v>71</v>
      </c>
      <c r="M47" s="307" t="s">
        <v>64</v>
      </c>
      <c r="N47" s="307" t="s">
        <v>72</v>
      </c>
      <c r="O47" s="307" t="s">
        <v>73</v>
      </c>
      <c r="P47" s="307" t="s">
        <v>67</v>
      </c>
      <c r="Q47" s="307" t="s">
        <v>68</v>
      </c>
      <c r="R47" s="307" t="s">
        <v>69</v>
      </c>
      <c r="S47" s="307" t="s">
        <v>74</v>
      </c>
      <c r="T47" s="307" t="s">
        <v>70</v>
      </c>
    </row>
    <row r="48" spans="1:20" ht="15.6" customHeight="1" x14ac:dyDescent="0.25">
      <c r="A48" s="301" t="s">
        <v>490</v>
      </c>
      <c r="B48" s="346"/>
      <c r="C48" s="306" t="s">
        <v>75</v>
      </c>
      <c r="D48" s="306" t="s">
        <v>76</v>
      </c>
      <c r="E48" s="306" t="s">
        <v>77</v>
      </c>
      <c r="F48" s="306" t="s">
        <v>78</v>
      </c>
      <c r="G48" s="306" t="s">
        <v>79</v>
      </c>
      <c r="H48" s="306" t="s">
        <v>80</v>
      </c>
      <c r="I48" s="306" t="s">
        <v>81</v>
      </c>
      <c r="J48" s="306" t="s">
        <v>82</v>
      </c>
      <c r="K48" s="306" t="s">
        <v>83</v>
      </c>
      <c r="L48" s="307" t="s">
        <v>84</v>
      </c>
      <c r="M48" s="307" t="s">
        <v>76</v>
      </c>
      <c r="N48" s="307" t="s">
        <v>85</v>
      </c>
      <c r="O48" s="307" t="s">
        <v>64</v>
      </c>
      <c r="P48" s="307" t="s">
        <v>79</v>
      </c>
      <c r="Q48" s="307" t="s">
        <v>86</v>
      </c>
      <c r="R48" s="307" t="s">
        <v>87</v>
      </c>
      <c r="S48" s="307" t="s">
        <v>88</v>
      </c>
      <c r="T48" s="307" t="s">
        <v>89</v>
      </c>
    </row>
    <row r="49" spans="1:20" x14ac:dyDescent="0.25">
      <c r="A49" s="301" t="s">
        <v>490</v>
      </c>
      <c r="B49" s="346"/>
      <c r="C49" s="306"/>
      <c r="D49" s="306"/>
      <c r="E49" s="306"/>
      <c r="F49" s="306"/>
      <c r="G49" s="306"/>
      <c r="H49" s="306"/>
      <c r="I49" s="306"/>
      <c r="J49" s="306"/>
      <c r="K49" s="306"/>
      <c r="L49" s="307"/>
      <c r="M49" s="307"/>
      <c r="N49" s="307"/>
      <c r="O49" s="307" t="s">
        <v>78</v>
      </c>
      <c r="P49" s="307"/>
      <c r="Q49" s="307"/>
      <c r="R49" s="307"/>
      <c r="S49" s="307"/>
      <c r="T49" s="307"/>
    </row>
    <row r="50" spans="1:20" s="40" customFormat="1" x14ac:dyDescent="0.25">
      <c r="B50" s="302"/>
      <c r="C50" s="302"/>
      <c r="D50" s="302"/>
      <c r="E50" s="303">
        <v>0</v>
      </c>
      <c r="F50" s="302"/>
      <c r="G50" s="302"/>
      <c r="H50" s="303">
        <v>0</v>
      </c>
      <c r="I50" s="303">
        <v>0</v>
      </c>
      <c r="J50" s="304"/>
      <c r="K50" s="304"/>
      <c r="L50" s="302"/>
      <c r="M50" s="302"/>
      <c r="N50" s="303">
        <v>0</v>
      </c>
      <c r="O50" s="302"/>
      <c r="P50" s="302"/>
      <c r="Q50" s="303">
        <v>0</v>
      </c>
      <c r="R50" s="303">
        <v>0</v>
      </c>
      <c r="S50" s="305">
        <v>0</v>
      </c>
      <c r="T50" s="305">
        <v>0</v>
      </c>
    </row>
    <row r="51" spans="1:20" x14ac:dyDescent="0.25">
      <c r="A51" s="301" t="s">
        <v>490</v>
      </c>
      <c r="B51" s="10"/>
      <c r="C51" s="10"/>
      <c r="D51" s="10"/>
      <c r="E51" s="41"/>
      <c r="F51" s="10"/>
      <c r="G51" s="10"/>
      <c r="H51" s="10"/>
      <c r="K51" s="19"/>
    </row>
    <row r="52" spans="1:20" x14ac:dyDescent="0.25">
      <c r="A52" s="301" t="s">
        <v>490</v>
      </c>
      <c r="B52" s="10" t="s">
        <v>200</v>
      </c>
      <c r="C52" s="10"/>
      <c r="D52" s="10"/>
      <c r="E52" s="10"/>
      <c r="F52" s="10"/>
      <c r="G52" s="10"/>
      <c r="H52" s="10"/>
      <c r="K52" s="19"/>
    </row>
    <row r="53" spans="1:20" x14ac:dyDescent="0.25">
      <c r="A53" s="4"/>
      <c r="B53" s="1" t="s">
        <v>90</v>
      </c>
      <c r="C53" s="10"/>
      <c r="D53" s="10"/>
      <c r="E53" s="10"/>
      <c r="F53" s="10"/>
      <c r="G53" s="10"/>
      <c r="H53" s="10"/>
      <c r="K53" s="19"/>
    </row>
    <row r="54" spans="1:20" ht="14.25" customHeight="1" x14ac:dyDescent="0.25">
      <c r="A54" s="301" t="s">
        <v>490</v>
      </c>
      <c r="B54" s="10" t="s">
        <v>91</v>
      </c>
      <c r="C54" s="42"/>
      <c r="D54" s="42"/>
      <c r="E54" s="42"/>
      <c r="F54" s="42"/>
      <c r="G54" s="42"/>
      <c r="H54" s="42"/>
      <c r="I54" s="42"/>
      <c r="K54" s="19"/>
    </row>
    <row r="55" spans="1:20" ht="42.75" customHeight="1" x14ac:dyDescent="0.25">
      <c r="A55" s="301" t="s">
        <v>490</v>
      </c>
      <c r="B55" s="90" t="s">
        <v>92</v>
      </c>
      <c r="C55" s="343" t="s">
        <v>93</v>
      </c>
      <c r="D55" s="344"/>
      <c r="E55" s="91" t="s">
        <v>94</v>
      </c>
      <c r="F55" s="90" t="s">
        <v>95</v>
      </c>
      <c r="G55" s="90" t="s">
        <v>96</v>
      </c>
      <c r="H55" s="90" t="s">
        <v>97</v>
      </c>
      <c r="I55" s="90" t="s">
        <v>98</v>
      </c>
      <c r="J55" s="90" t="s">
        <v>99</v>
      </c>
      <c r="K55" s="354" t="s">
        <v>100</v>
      </c>
      <c r="L55" s="344"/>
      <c r="M55" s="354" t="s">
        <v>101</v>
      </c>
      <c r="N55" s="344"/>
    </row>
    <row r="56" spans="1:20" ht="30" customHeight="1" x14ac:dyDescent="0.25">
      <c r="A56" s="4"/>
      <c r="B56" s="23"/>
      <c r="C56" s="338"/>
      <c r="D56" s="339"/>
      <c r="E56" s="44"/>
      <c r="F56" s="45"/>
      <c r="G56" s="46"/>
      <c r="H56" s="47"/>
      <c r="I56" s="48"/>
      <c r="J56" s="49"/>
      <c r="K56" s="338"/>
      <c r="L56" s="339"/>
      <c r="M56" s="384"/>
      <c r="N56" s="356"/>
    </row>
    <row r="57" spans="1:20" ht="30" customHeight="1" x14ac:dyDescent="0.25">
      <c r="A57" s="4"/>
      <c r="B57" s="23"/>
      <c r="C57" s="359"/>
      <c r="D57" s="339"/>
      <c r="E57" s="50"/>
      <c r="F57" s="45"/>
      <c r="G57" s="51"/>
      <c r="H57" s="47"/>
      <c r="I57" s="48"/>
      <c r="J57" s="49"/>
      <c r="K57" s="338"/>
      <c r="L57" s="339"/>
      <c r="M57" s="356"/>
      <c r="N57" s="356"/>
    </row>
    <row r="58" spans="1:20" ht="30" customHeight="1" x14ac:dyDescent="0.25">
      <c r="A58" s="4"/>
      <c r="B58" s="52"/>
      <c r="C58" s="338"/>
      <c r="D58" s="339"/>
      <c r="E58" s="53"/>
      <c r="F58" s="45"/>
      <c r="G58" s="51"/>
      <c r="H58" s="47"/>
      <c r="I58" s="48"/>
      <c r="J58" s="49"/>
      <c r="K58" s="338"/>
      <c r="L58" s="339"/>
      <c r="M58" s="356"/>
      <c r="N58" s="356"/>
    </row>
    <row r="59" spans="1:20" ht="30" customHeight="1" x14ac:dyDescent="0.25">
      <c r="A59" s="4"/>
      <c r="B59" s="52"/>
      <c r="C59" s="338"/>
      <c r="D59" s="339"/>
      <c r="E59" s="53"/>
      <c r="F59" s="45"/>
      <c r="G59" s="51"/>
      <c r="H59" s="47"/>
      <c r="I59" s="48"/>
      <c r="J59" s="49"/>
      <c r="K59" s="338"/>
      <c r="L59" s="339"/>
      <c r="M59" s="356"/>
      <c r="N59" s="356"/>
    </row>
    <row r="60" spans="1:20" ht="30" customHeight="1" x14ac:dyDescent="0.25">
      <c r="A60" s="4"/>
      <c r="B60" s="52"/>
      <c r="C60" s="338"/>
      <c r="D60" s="339"/>
      <c r="E60" s="53"/>
      <c r="F60" s="49"/>
      <c r="G60" s="51"/>
      <c r="H60" s="47"/>
      <c r="I60" s="48"/>
      <c r="J60" s="49"/>
      <c r="K60" s="359"/>
      <c r="L60" s="339"/>
      <c r="M60" s="356"/>
      <c r="N60" s="356"/>
    </row>
    <row r="61" spans="1:20" ht="30" customHeight="1" x14ac:dyDescent="0.25">
      <c r="A61" s="4"/>
      <c r="B61" s="54"/>
      <c r="C61" s="360"/>
      <c r="D61" s="356"/>
      <c r="E61" s="22"/>
      <c r="F61" s="55"/>
      <c r="G61" s="56"/>
      <c r="H61" s="56"/>
      <c r="I61" s="57"/>
      <c r="J61" s="58"/>
      <c r="K61" s="355"/>
      <c r="L61" s="356"/>
      <c r="M61" s="356"/>
      <c r="N61" s="356"/>
    </row>
    <row r="62" spans="1:20" ht="28.5" customHeight="1" x14ac:dyDescent="0.25">
      <c r="A62" s="4"/>
      <c r="B62" s="60" t="s">
        <v>102</v>
      </c>
      <c r="C62" s="378"/>
      <c r="D62" s="356"/>
      <c r="E62" s="61"/>
      <c r="F62" s="61"/>
      <c r="G62" s="62">
        <f>SUMIF(J56:J61,"Completed",G56:G61)+SUMIF(J56:J61,"Awarded",G56:G61)</f>
        <v>0</v>
      </c>
      <c r="H62" s="63">
        <f>SUM(H56:H61)</f>
        <v>0</v>
      </c>
      <c r="I62" s="64"/>
      <c r="J62" s="65"/>
      <c r="K62" s="391"/>
      <c r="L62" s="356"/>
      <c r="M62" s="356"/>
      <c r="N62" s="356"/>
    </row>
    <row r="63" spans="1:20" x14ac:dyDescent="0.25">
      <c r="A63" s="301" t="s">
        <v>490</v>
      </c>
      <c r="B63" s="66"/>
      <c r="C63" s="66"/>
      <c r="D63" s="10"/>
      <c r="E63" s="10"/>
      <c r="F63" s="10"/>
      <c r="G63" s="8"/>
      <c r="H63" s="10"/>
      <c r="I63" s="10"/>
      <c r="J63" s="10"/>
      <c r="K63" s="10"/>
      <c r="M63" s="19"/>
    </row>
    <row r="64" spans="1:20" x14ac:dyDescent="0.25">
      <c r="A64" s="301" t="s">
        <v>490</v>
      </c>
      <c r="B64" s="10" t="s">
        <v>103</v>
      </c>
      <c r="C64" s="10"/>
      <c r="D64" s="10"/>
      <c r="E64" s="10"/>
      <c r="F64" s="10"/>
      <c r="G64" s="10"/>
      <c r="H64" s="10"/>
      <c r="I64" s="10"/>
      <c r="J64" s="10"/>
      <c r="K64" s="10"/>
      <c r="M64" s="19"/>
    </row>
    <row r="65" spans="1:14" ht="36" customHeight="1" x14ac:dyDescent="0.25">
      <c r="A65" s="301" t="s">
        <v>490</v>
      </c>
      <c r="B65" s="90" t="s">
        <v>92</v>
      </c>
      <c r="C65" s="343" t="s">
        <v>93</v>
      </c>
      <c r="D65" s="344"/>
      <c r="E65" s="91" t="s">
        <v>94</v>
      </c>
      <c r="F65" s="90" t="s">
        <v>95</v>
      </c>
      <c r="G65" s="90" t="s">
        <v>96</v>
      </c>
      <c r="H65" s="90" t="s">
        <v>97</v>
      </c>
      <c r="I65" s="90" t="s">
        <v>98</v>
      </c>
      <c r="J65" s="90" t="s">
        <v>99</v>
      </c>
      <c r="K65" s="354" t="s">
        <v>100</v>
      </c>
      <c r="L65" s="344"/>
      <c r="M65" s="354" t="s">
        <v>101</v>
      </c>
      <c r="N65" s="344"/>
    </row>
    <row r="66" spans="1:14" ht="45" customHeight="1" x14ac:dyDescent="0.25">
      <c r="A66" s="4"/>
      <c r="B66" s="177"/>
      <c r="C66" s="338"/>
      <c r="D66" s="339"/>
      <c r="E66" s="53"/>
      <c r="F66" s="49"/>
      <c r="G66" s="309"/>
      <c r="H66" s="309"/>
      <c r="I66" s="310"/>
      <c r="J66" s="49"/>
      <c r="K66" s="338"/>
      <c r="L66" s="339"/>
      <c r="M66" s="384"/>
      <c r="N66" s="356"/>
    </row>
    <row r="67" spans="1:14" ht="45" customHeight="1" x14ac:dyDescent="0.25">
      <c r="A67" s="4"/>
      <c r="B67" s="177"/>
      <c r="C67" s="338"/>
      <c r="D67" s="339"/>
      <c r="E67" s="53"/>
      <c r="F67" s="49"/>
      <c r="G67" s="51"/>
      <c r="H67" s="309"/>
      <c r="I67" s="310"/>
      <c r="J67" s="49"/>
      <c r="K67" s="338"/>
      <c r="L67" s="339"/>
      <c r="M67" s="356"/>
      <c r="N67" s="356"/>
    </row>
    <row r="68" spans="1:14" ht="45" customHeight="1" x14ac:dyDescent="0.25">
      <c r="A68" s="4"/>
      <c r="B68" s="23"/>
      <c r="C68" s="338"/>
      <c r="D68" s="339"/>
      <c r="E68" s="50"/>
      <c r="F68" s="178"/>
      <c r="G68" s="51"/>
      <c r="H68" s="46"/>
      <c r="I68" s="310"/>
      <c r="J68" s="49"/>
      <c r="K68" s="338"/>
      <c r="L68" s="339"/>
      <c r="M68" s="356"/>
      <c r="N68" s="356"/>
    </row>
    <row r="69" spans="1:14" ht="45" customHeight="1" x14ac:dyDescent="0.25">
      <c r="A69" s="4"/>
      <c r="B69" s="311"/>
      <c r="C69" s="383"/>
      <c r="D69" s="339"/>
      <c r="E69" s="67"/>
      <c r="F69" s="312"/>
      <c r="G69" s="46"/>
      <c r="H69" s="46"/>
      <c r="I69" s="48"/>
      <c r="J69" s="49"/>
      <c r="K69" s="338"/>
      <c r="L69" s="339"/>
      <c r="M69" s="356"/>
      <c r="N69" s="356"/>
    </row>
    <row r="70" spans="1:14" ht="45" customHeight="1" x14ac:dyDescent="0.25">
      <c r="A70" s="4"/>
      <c r="B70" s="311"/>
      <c r="C70" s="340"/>
      <c r="D70" s="339"/>
      <c r="E70" s="67"/>
      <c r="F70" s="312"/>
      <c r="G70" s="46"/>
      <c r="H70" s="47"/>
      <c r="I70" s="48"/>
      <c r="J70" s="49"/>
      <c r="K70" s="338"/>
      <c r="L70" s="339"/>
      <c r="M70" s="356"/>
      <c r="N70" s="356"/>
    </row>
    <row r="71" spans="1:14" ht="45" customHeight="1" x14ac:dyDescent="0.25">
      <c r="A71" s="4"/>
      <c r="B71" s="54"/>
      <c r="C71" s="360"/>
      <c r="D71" s="356"/>
      <c r="E71" s="22"/>
      <c r="F71" s="55"/>
      <c r="G71" s="56"/>
      <c r="H71" s="56"/>
      <c r="I71" s="57"/>
      <c r="J71" s="58"/>
      <c r="K71" s="355"/>
      <c r="L71" s="356"/>
      <c r="M71" s="356"/>
      <c r="N71" s="356"/>
    </row>
    <row r="72" spans="1:14" ht="45" customHeight="1" x14ac:dyDescent="0.25">
      <c r="A72" s="4"/>
      <c r="B72" s="60"/>
      <c r="C72" s="378"/>
      <c r="D72" s="356"/>
      <c r="E72" s="22"/>
      <c r="F72" s="55"/>
      <c r="G72" s="62"/>
      <c r="H72" s="313"/>
      <c r="I72" s="57"/>
      <c r="J72" s="58"/>
      <c r="K72" s="355"/>
      <c r="L72" s="356"/>
      <c r="M72" s="356"/>
      <c r="N72" s="356"/>
    </row>
    <row r="73" spans="1:14" x14ac:dyDescent="0.25">
      <c r="A73" s="301" t="s">
        <v>490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M73" s="19"/>
    </row>
    <row r="74" spans="1:14" x14ac:dyDescent="0.25">
      <c r="A74" s="301" t="s">
        <v>490</v>
      </c>
      <c r="B74" s="10" t="s">
        <v>104</v>
      </c>
      <c r="C74" s="10"/>
      <c r="D74" s="10"/>
      <c r="E74" s="10"/>
      <c r="F74" s="10"/>
      <c r="G74" s="10"/>
      <c r="H74" s="10"/>
      <c r="I74" s="10"/>
      <c r="J74" s="10"/>
      <c r="K74" s="10"/>
      <c r="M74" s="19"/>
    </row>
    <row r="75" spans="1:14" ht="39.6" customHeight="1" x14ac:dyDescent="0.25">
      <c r="A75" s="301" t="s">
        <v>490</v>
      </c>
      <c r="B75" s="90" t="s">
        <v>92</v>
      </c>
      <c r="C75" s="343" t="s">
        <v>93</v>
      </c>
      <c r="D75" s="344"/>
      <c r="E75" s="91" t="s">
        <v>94</v>
      </c>
      <c r="F75" s="90" t="s">
        <v>95</v>
      </c>
      <c r="G75" s="90" t="s">
        <v>96</v>
      </c>
      <c r="H75" s="90" t="s">
        <v>97</v>
      </c>
      <c r="I75" s="90" t="s">
        <v>98</v>
      </c>
      <c r="J75" s="90" t="s">
        <v>99</v>
      </c>
      <c r="K75" s="354" t="s">
        <v>105</v>
      </c>
      <c r="L75" s="344"/>
      <c r="M75" s="344"/>
    </row>
    <row r="76" spans="1:14" ht="15" customHeight="1" x14ac:dyDescent="0.25">
      <c r="A76" s="4"/>
      <c r="B76" s="23"/>
      <c r="C76" s="338"/>
      <c r="D76" s="339"/>
      <c r="E76" s="50"/>
      <c r="F76" s="45"/>
      <c r="G76" s="51"/>
      <c r="H76" s="51"/>
      <c r="I76" s="48"/>
      <c r="J76" s="49"/>
      <c r="K76" s="338"/>
      <c r="L76" s="339"/>
      <c r="M76" s="339"/>
    </row>
    <row r="77" spans="1:14" ht="15" customHeight="1" x14ac:dyDescent="0.25">
      <c r="A77" s="4"/>
      <c r="B77" s="177"/>
      <c r="C77" s="338"/>
      <c r="D77" s="339"/>
      <c r="E77" s="53"/>
      <c r="F77" s="45"/>
      <c r="G77" s="51"/>
      <c r="H77" s="46"/>
      <c r="I77" s="48"/>
      <c r="J77" s="49"/>
      <c r="K77" s="338"/>
      <c r="L77" s="339"/>
      <c r="M77" s="339"/>
    </row>
    <row r="78" spans="1:14" ht="15" customHeight="1" x14ac:dyDescent="0.25">
      <c r="A78" s="4"/>
      <c r="B78" s="23"/>
      <c r="C78" s="338"/>
      <c r="D78" s="339"/>
      <c r="E78" s="50"/>
      <c r="F78" s="178"/>
      <c r="G78" s="51"/>
      <c r="H78" s="46"/>
      <c r="I78" s="48"/>
      <c r="J78" s="49"/>
      <c r="K78" s="338"/>
      <c r="L78" s="339"/>
      <c r="M78" s="339"/>
    </row>
    <row r="79" spans="1:14" ht="15" customHeight="1" x14ac:dyDescent="0.25">
      <c r="A79" s="4"/>
      <c r="B79" s="23"/>
      <c r="C79" s="338"/>
      <c r="D79" s="339"/>
      <c r="E79" s="50"/>
      <c r="F79" s="178"/>
      <c r="G79" s="51"/>
      <c r="H79" s="46"/>
      <c r="I79" s="48"/>
      <c r="J79" s="49"/>
      <c r="K79" s="338"/>
      <c r="L79" s="339"/>
      <c r="M79" s="339"/>
    </row>
    <row r="80" spans="1:14" ht="15" customHeight="1" x14ac:dyDescent="0.25">
      <c r="A80" s="4"/>
      <c r="B80" s="23"/>
      <c r="C80" s="338"/>
      <c r="D80" s="339"/>
      <c r="E80" s="50"/>
      <c r="F80" s="178"/>
      <c r="G80" s="51"/>
      <c r="H80" s="46"/>
      <c r="I80" s="48"/>
      <c r="J80" s="49"/>
      <c r="K80" s="338"/>
      <c r="L80" s="339"/>
      <c r="M80" s="339"/>
    </row>
    <row r="81" spans="2:13" s="4" customFormat="1" ht="15" customHeight="1" x14ac:dyDescent="0.25">
      <c r="B81" s="23"/>
      <c r="C81" s="338"/>
      <c r="D81" s="339"/>
      <c r="E81" s="43"/>
      <c r="F81" s="178"/>
      <c r="G81" s="51"/>
      <c r="H81" s="51"/>
      <c r="I81" s="48"/>
      <c r="J81" s="49"/>
      <c r="K81" s="338"/>
      <c r="L81" s="339"/>
      <c r="M81" s="339"/>
    </row>
    <row r="82" spans="2:13" s="4" customFormat="1" ht="15" customHeight="1" x14ac:dyDescent="0.25">
      <c r="B82" s="23"/>
      <c r="C82" s="338"/>
      <c r="D82" s="339"/>
      <c r="E82" s="43"/>
      <c r="F82" s="178"/>
      <c r="G82" s="51"/>
      <c r="H82" s="51"/>
      <c r="I82" s="48"/>
      <c r="J82" s="49"/>
      <c r="K82" s="338"/>
      <c r="L82" s="339"/>
      <c r="M82" s="339"/>
    </row>
    <row r="83" spans="2:13" s="4" customFormat="1" ht="15" customHeight="1" x14ac:dyDescent="0.25">
      <c r="B83" s="23"/>
      <c r="C83" s="338"/>
      <c r="D83" s="339"/>
      <c r="E83" s="43"/>
      <c r="F83" s="178"/>
      <c r="G83" s="51"/>
      <c r="H83" s="51"/>
      <c r="I83" s="48"/>
      <c r="J83" s="49"/>
      <c r="K83" s="338"/>
      <c r="L83" s="339"/>
      <c r="M83" s="339"/>
    </row>
    <row r="84" spans="2:13" s="4" customFormat="1" ht="15" customHeight="1" x14ac:dyDescent="0.25">
      <c r="B84" s="23"/>
      <c r="C84" s="338"/>
      <c r="D84" s="339"/>
      <c r="E84" s="43"/>
      <c r="F84" s="178"/>
      <c r="G84" s="51"/>
      <c r="H84" s="51"/>
      <c r="I84" s="48"/>
      <c r="J84" s="49"/>
      <c r="K84" s="338"/>
      <c r="L84" s="339"/>
      <c r="M84" s="339"/>
    </row>
    <row r="85" spans="2:13" s="4" customFormat="1" ht="15" customHeight="1" x14ac:dyDescent="0.25">
      <c r="B85" s="23"/>
      <c r="C85" s="338"/>
      <c r="D85" s="339"/>
      <c r="E85" s="50"/>
      <c r="F85" s="296"/>
      <c r="G85" s="51"/>
      <c r="H85" s="51"/>
      <c r="I85" s="48"/>
      <c r="J85" s="49"/>
      <c r="K85" s="338"/>
      <c r="L85" s="339"/>
      <c r="M85" s="339"/>
    </row>
    <row r="86" spans="2:13" s="4" customFormat="1" ht="15" customHeight="1" x14ac:dyDescent="0.25">
      <c r="B86" s="23"/>
      <c r="C86" s="338"/>
      <c r="D86" s="339"/>
      <c r="E86" s="50"/>
      <c r="F86" s="296"/>
      <c r="G86" s="51"/>
      <c r="H86" s="51"/>
      <c r="I86" s="48"/>
      <c r="J86" s="49"/>
      <c r="K86" s="338"/>
      <c r="L86" s="339"/>
      <c r="M86" s="339"/>
    </row>
    <row r="87" spans="2:13" s="4" customFormat="1" ht="15" customHeight="1" x14ac:dyDescent="0.25">
      <c r="B87" s="23"/>
      <c r="C87" s="338"/>
      <c r="D87" s="339"/>
      <c r="E87" s="50"/>
      <c r="F87" s="296"/>
      <c r="G87" s="51"/>
      <c r="H87" s="51"/>
      <c r="I87" s="48"/>
      <c r="J87" s="49"/>
      <c r="K87" s="338"/>
      <c r="L87" s="339"/>
      <c r="M87" s="339"/>
    </row>
    <row r="88" spans="2:13" s="4" customFormat="1" ht="15" customHeight="1" x14ac:dyDescent="0.25">
      <c r="B88" s="23"/>
      <c r="C88" s="338"/>
      <c r="D88" s="339"/>
      <c r="E88" s="50"/>
      <c r="F88" s="296"/>
      <c r="G88" s="51"/>
      <c r="H88" s="51"/>
      <c r="I88" s="48"/>
      <c r="J88" s="49"/>
      <c r="K88" s="338"/>
      <c r="L88" s="339"/>
      <c r="M88" s="339"/>
    </row>
    <row r="89" spans="2:13" s="4" customFormat="1" ht="15" customHeight="1" x14ac:dyDescent="0.25">
      <c r="B89" s="297"/>
      <c r="C89" s="338"/>
      <c r="D89" s="339"/>
      <c r="E89" s="50"/>
      <c r="F89" s="178"/>
      <c r="G89" s="51"/>
      <c r="H89" s="51"/>
      <c r="I89" s="298"/>
      <c r="J89" s="49"/>
      <c r="K89" s="338"/>
      <c r="L89" s="339"/>
      <c r="M89" s="339"/>
    </row>
    <row r="90" spans="2:13" s="4" customFormat="1" ht="15" customHeight="1" x14ac:dyDescent="0.25">
      <c r="B90" s="297"/>
      <c r="C90" s="338"/>
      <c r="D90" s="339"/>
      <c r="E90" s="50"/>
      <c r="F90" s="178"/>
      <c r="G90" s="46"/>
      <c r="H90" s="46"/>
      <c r="I90" s="298"/>
      <c r="J90" s="49"/>
      <c r="K90" s="379"/>
      <c r="L90" s="339"/>
      <c r="M90" s="339"/>
    </row>
    <row r="91" spans="2:13" s="4" customFormat="1" ht="15" customHeight="1" x14ac:dyDescent="0.25">
      <c r="B91" s="297"/>
      <c r="C91" s="338"/>
      <c r="D91" s="339"/>
      <c r="E91" s="67"/>
      <c r="F91" s="178"/>
      <c r="G91" s="46"/>
      <c r="H91" s="46"/>
      <c r="I91" s="298"/>
      <c r="J91" s="49"/>
      <c r="K91" s="361"/>
      <c r="L91" s="339"/>
      <c r="M91" s="339"/>
    </row>
    <row r="92" spans="2:13" s="4" customFormat="1" ht="15" customHeight="1" x14ac:dyDescent="0.25">
      <c r="B92" s="297"/>
      <c r="C92" s="338"/>
      <c r="D92" s="339"/>
      <c r="E92" s="67"/>
      <c r="F92" s="178"/>
      <c r="G92" s="46"/>
      <c r="H92" s="46"/>
      <c r="I92" s="298"/>
      <c r="J92" s="49"/>
      <c r="K92" s="361"/>
      <c r="L92" s="339"/>
      <c r="M92" s="339"/>
    </row>
    <row r="93" spans="2:13" s="4" customFormat="1" ht="15" customHeight="1" x14ac:dyDescent="0.25">
      <c r="B93" s="297"/>
      <c r="C93" s="338"/>
      <c r="D93" s="339"/>
      <c r="E93" s="67"/>
      <c r="F93" s="178"/>
      <c r="G93" s="46"/>
      <c r="H93" s="46"/>
      <c r="I93" s="298"/>
      <c r="J93" s="49"/>
      <c r="K93" s="361"/>
      <c r="L93" s="339"/>
      <c r="M93" s="339"/>
    </row>
    <row r="94" spans="2:13" s="4" customFormat="1" ht="15" customHeight="1" x14ac:dyDescent="0.25">
      <c r="B94" s="297"/>
      <c r="C94" s="338"/>
      <c r="D94" s="339"/>
      <c r="E94" s="67"/>
      <c r="F94" s="178"/>
      <c r="G94" s="46"/>
      <c r="H94" s="46"/>
      <c r="I94" s="298"/>
      <c r="J94" s="49"/>
      <c r="K94" s="338"/>
      <c r="L94" s="339"/>
      <c r="M94" s="339"/>
    </row>
    <row r="95" spans="2:13" s="4" customFormat="1" ht="15" customHeight="1" x14ac:dyDescent="0.25">
      <c r="B95" s="297"/>
      <c r="C95" s="340"/>
      <c r="D95" s="339"/>
      <c r="E95" s="50"/>
      <c r="F95" s="296"/>
      <c r="G95" s="46"/>
      <c r="H95" s="47"/>
      <c r="I95" s="298"/>
      <c r="J95" s="49"/>
      <c r="K95" s="338"/>
      <c r="L95" s="339"/>
      <c r="M95" s="339"/>
    </row>
    <row r="96" spans="2:13" s="4" customFormat="1" ht="15" customHeight="1" x14ac:dyDescent="0.25">
      <c r="B96" s="297"/>
      <c r="C96" s="340"/>
      <c r="D96" s="339"/>
      <c r="E96" s="50"/>
      <c r="F96" s="296"/>
      <c r="G96" s="46"/>
      <c r="H96" s="47"/>
      <c r="I96" s="298"/>
      <c r="J96" s="49"/>
      <c r="K96" s="338"/>
      <c r="L96" s="339"/>
      <c r="M96" s="339"/>
    </row>
    <row r="97" spans="1:15" ht="15" customHeight="1" x14ac:dyDescent="0.25">
      <c r="A97" s="4"/>
      <c r="B97" s="297"/>
      <c r="C97" s="340"/>
      <c r="D97" s="339"/>
      <c r="E97" s="50"/>
      <c r="F97" s="296"/>
      <c r="G97" s="46"/>
      <c r="H97" s="46"/>
      <c r="I97" s="298"/>
      <c r="J97" s="49"/>
      <c r="K97" s="338"/>
      <c r="L97" s="339"/>
      <c r="M97" s="339"/>
    </row>
    <row r="98" spans="1:15" ht="15" customHeight="1" x14ac:dyDescent="0.25">
      <c r="A98" s="4"/>
      <c r="B98" s="297"/>
      <c r="C98" s="358"/>
      <c r="D98" s="358"/>
      <c r="E98" s="50"/>
      <c r="F98" s="178"/>
      <c r="G98" s="46"/>
      <c r="H98" s="47"/>
      <c r="I98" s="298"/>
      <c r="J98" s="49"/>
      <c r="K98" s="359"/>
      <c r="L98" s="339"/>
      <c r="M98" s="339"/>
    </row>
    <row r="99" spans="1:15" ht="15" customHeight="1" x14ac:dyDescent="0.25">
      <c r="A99" s="4"/>
      <c r="B99" s="54"/>
      <c r="C99" s="360"/>
      <c r="D99" s="356"/>
      <c r="E99" s="22"/>
      <c r="F99" s="55"/>
      <c r="G99" s="56"/>
      <c r="H99" s="56"/>
      <c r="I99" s="57"/>
      <c r="J99" s="58"/>
      <c r="K99" s="355"/>
      <c r="L99" s="356"/>
      <c r="M99" s="356"/>
    </row>
    <row r="100" spans="1:15" x14ac:dyDescent="0.25">
      <c r="A100" s="4"/>
      <c r="B100" s="60" t="s">
        <v>102</v>
      </c>
      <c r="C100" s="378"/>
      <c r="D100" s="356"/>
      <c r="E100" s="22"/>
      <c r="F100" s="68"/>
      <c r="G100" s="62"/>
      <c r="H100" s="63"/>
      <c r="I100" s="57"/>
      <c r="J100" s="58"/>
      <c r="K100" s="355"/>
      <c r="L100" s="356"/>
      <c r="M100" s="356"/>
    </row>
    <row r="101" spans="1:15" x14ac:dyDescent="0.25">
      <c r="A101" s="4"/>
      <c r="B101" s="70" t="s">
        <v>489</v>
      </c>
      <c r="C101" s="70"/>
      <c r="D101" s="24"/>
      <c r="E101" s="24"/>
      <c r="F101" s="71"/>
      <c r="G101" s="72"/>
      <c r="H101" s="73"/>
      <c r="I101" s="74"/>
      <c r="J101" s="75"/>
      <c r="K101" s="76"/>
      <c r="M101" s="19"/>
    </row>
    <row r="102" spans="1:15" ht="15" customHeight="1" x14ac:dyDescent="0.25">
      <c r="A102" s="4"/>
      <c r="B102" s="60" t="s">
        <v>106</v>
      </c>
      <c r="C102" s="352"/>
      <c r="D102" s="352"/>
      <c r="E102" s="22"/>
      <c r="F102" s="68"/>
      <c r="G102" s="69"/>
      <c r="H102" s="69"/>
      <c r="I102" s="69"/>
      <c r="J102" s="58"/>
      <c r="K102" s="357"/>
      <c r="L102" s="357"/>
      <c r="M102" s="357"/>
    </row>
    <row r="103" spans="1:15" x14ac:dyDescent="0.25">
      <c r="A103" s="301" t="s">
        <v>490</v>
      </c>
      <c r="E103" s="4"/>
      <c r="K103" s="19"/>
    </row>
    <row r="104" spans="1:15" x14ac:dyDescent="0.25">
      <c r="A104" s="301" t="s">
        <v>490</v>
      </c>
      <c r="B104" s="10" t="s">
        <v>193</v>
      </c>
      <c r="E104" s="4"/>
      <c r="K104" s="19"/>
    </row>
    <row r="105" spans="1:15" s="5" customFormat="1" x14ac:dyDescent="0.25">
      <c r="A105" s="301" t="s">
        <v>490</v>
      </c>
      <c r="B105" s="90" t="s">
        <v>107</v>
      </c>
      <c r="C105" s="90" t="s">
        <v>108</v>
      </c>
      <c r="D105" s="90" t="s">
        <v>109</v>
      </c>
      <c r="E105" s="90" t="s">
        <v>110</v>
      </c>
      <c r="F105" s="90" t="s">
        <v>111</v>
      </c>
      <c r="G105" s="90" t="s">
        <v>112</v>
      </c>
      <c r="H105" s="90" t="s">
        <v>113</v>
      </c>
      <c r="I105" s="90" t="s">
        <v>114</v>
      </c>
      <c r="J105" s="90" t="s">
        <v>115</v>
      </c>
      <c r="K105" s="90" t="s">
        <v>116</v>
      </c>
      <c r="L105" s="354" t="s">
        <v>117</v>
      </c>
      <c r="M105" s="344"/>
      <c r="O105" s="19"/>
    </row>
    <row r="106" spans="1:15" ht="45" customHeight="1" x14ac:dyDescent="0.25">
      <c r="A106" s="4"/>
      <c r="B106" s="22" t="s">
        <v>247</v>
      </c>
      <c r="C106" s="49"/>
      <c r="D106" s="48"/>
      <c r="E106" s="48"/>
      <c r="F106" s="48"/>
      <c r="G106" s="48"/>
      <c r="H106" s="48"/>
      <c r="I106" s="48"/>
      <c r="J106" s="48"/>
      <c r="K106" s="48"/>
      <c r="L106" s="347"/>
      <c r="M106" s="339"/>
      <c r="O106" s="19"/>
    </row>
    <row r="107" spans="1:15" ht="45" customHeight="1" x14ac:dyDescent="0.25">
      <c r="A107" s="4"/>
      <c r="B107" s="22" t="s">
        <v>248</v>
      </c>
      <c r="C107" s="67"/>
      <c r="D107" s="48"/>
      <c r="E107" s="48"/>
      <c r="F107" s="48"/>
      <c r="G107" s="48"/>
      <c r="H107" s="48"/>
      <c r="I107" s="48"/>
      <c r="J107" s="48"/>
      <c r="K107" s="48"/>
      <c r="L107" s="347"/>
      <c r="M107" s="339"/>
      <c r="O107" s="19"/>
    </row>
    <row r="108" spans="1:15" ht="45" customHeight="1" x14ac:dyDescent="0.25">
      <c r="A108" s="4"/>
      <c r="B108" s="22" t="s">
        <v>249</v>
      </c>
      <c r="C108" s="67"/>
      <c r="D108" s="77"/>
      <c r="E108" s="77"/>
      <c r="F108" s="77"/>
      <c r="G108" s="77"/>
      <c r="H108" s="77"/>
      <c r="I108" s="77"/>
      <c r="J108" s="78"/>
      <c r="K108" s="78"/>
      <c r="L108" s="347"/>
      <c r="M108" s="339"/>
      <c r="O108" s="19"/>
    </row>
    <row r="109" spans="1:15" s="79" customFormat="1" x14ac:dyDescent="0.25">
      <c r="A109" s="301" t="s">
        <v>490</v>
      </c>
      <c r="B109" s="90" t="s">
        <v>118</v>
      </c>
      <c r="C109" s="90" t="s">
        <v>108</v>
      </c>
      <c r="D109" s="90" t="s">
        <v>109</v>
      </c>
      <c r="E109" s="90" t="s">
        <v>110</v>
      </c>
      <c r="F109" s="90" t="s">
        <v>111</v>
      </c>
      <c r="G109" s="90" t="s">
        <v>112</v>
      </c>
      <c r="H109" s="90" t="s">
        <v>113</v>
      </c>
      <c r="I109" s="90" t="s">
        <v>114</v>
      </c>
      <c r="J109" s="90" t="s">
        <v>115</v>
      </c>
      <c r="K109" s="90" t="s">
        <v>116</v>
      </c>
      <c r="L109" s="354" t="s">
        <v>117</v>
      </c>
      <c r="M109" s="344"/>
      <c r="O109" s="19"/>
    </row>
    <row r="110" spans="1:15" ht="45" customHeight="1" x14ac:dyDescent="0.25">
      <c r="A110" s="4"/>
      <c r="B110" s="22" t="s">
        <v>247</v>
      </c>
      <c r="C110" s="48"/>
      <c r="D110" s="48"/>
      <c r="E110" s="48"/>
      <c r="F110" s="48"/>
      <c r="G110" s="48"/>
      <c r="H110" s="48"/>
      <c r="I110" s="48"/>
      <c r="J110" s="48"/>
      <c r="K110" s="48"/>
      <c r="L110" s="380"/>
      <c r="M110" s="356"/>
      <c r="O110" s="19"/>
    </row>
    <row r="111" spans="1:15" ht="45" customHeight="1" x14ac:dyDescent="0.25">
      <c r="A111" s="4"/>
      <c r="B111" s="22" t="s">
        <v>248</v>
      </c>
      <c r="C111" s="48"/>
      <c r="D111" s="48"/>
      <c r="E111" s="48"/>
      <c r="F111" s="48"/>
      <c r="G111" s="48"/>
      <c r="H111" s="48"/>
      <c r="I111" s="48"/>
      <c r="J111" s="48"/>
      <c r="K111" s="48"/>
      <c r="L111" s="356"/>
      <c r="M111" s="356"/>
      <c r="O111" s="19"/>
    </row>
    <row r="112" spans="1:15" ht="45" customHeight="1" x14ac:dyDescent="0.25">
      <c r="A112" s="4"/>
      <c r="B112" s="22" t="s">
        <v>249</v>
      </c>
      <c r="C112" s="67"/>
      <c r="D112" s="67"/>
      <c r="E112" s="67"/>
      <c r="F112" s="67"/>
      <c r="G112" s="67"/>
      <c r="H112" s="367"/>
      <c r="I112" s="341"/>
      <c r="J112" s="22"/>
      <c r="K112" s="80"/>
      <c r="L112" s="356"/>
      <c r="M112" s="356"/>
    </row>
    <row r="113" spans="1:17" x14ac:dyDescent="0.25">
      <c r="A113" s="301" t="s">
        <v>490</v>
      </c>
      <c r="E113" s="4"/>
      <c r="K113" s="19"/>
    </row>
    <row r="114" spans="1:17" x14ac:dyDescent="0.25">
      <c r="A114" s="301" t="s">
        <v>490</v>
      </c>
      <c r="B114" s="10" t="s">
        <v>201</v>
      </c>
      <c r="E114" s="4"/>
      <c r="K114" s="19"/>
    </row>
    <row r="115" spans="1:17" s="81" customFormat="1" ht="52.8" customHeight="1" x14ac:dyDescent="0.25">
      <c r="A115" s="301" t="s">
        <v>490</v>
      </c>
      <c r="B115" s="102"/>
      <c r="C115" s="90" t="s">
        <v>119</v>
      </c>
      <c r="D115" s="90" t="s">
        <v>120</v>
      </c>
      <c r="E115" s="90" t="s">
        <v>121</v>
      </c>
      <c r="F115" s="90" t="s">
        <v>122</v>
      </c>
      <c r="G115" s="90" t="s">
        <v>123</v>
      </c>
      <c r="H115" s="354" t="s">
        <v>124</v>
      </c>
      <c r="I115" s="344"/>
      <c r="K115" s="19"/>
    </row>
    <row r="116" spans="1:17" ht="45" customHeight="1" x14ac:dyDescent="0.25">
      <c r="A116" s="4"/>
      <c r="B116" s="82"/>
      <c r="C116" s="83"/>
      <c r="D116" s="84"/>
      <c r="E116" s="85"/>
      <c r="F116" s="84"/>
      <c r="G116" s="77"/>
      <c r="H116" s="347"/>
      <c r="I116" s="339"/>
      <c r="K116" s="19"/>
    </row>
    <row r="117" spans="1:17" ht="45" customHeight="1" x14ac:dyDescent="0.25">
      <c r="A117" s="4"/>
      <c r="B117" s="82"/>
      <c r="C117" s="77"/>
      <c r="D117" s="84"/>
      <c r="E117" s="85"/>
      <c r="F117" s="84"/>
      <c r="G117" s="84"/>
      <c r="H117" s="347"/>
      <c r="I117" s="339"/>
      <c r="K117" s="19"/>
    </row>
    <row r="118" spans="1:17" ht="45" customHeight="1" x14ac:dyDescent="0.25">
      <c r="A118" s="4"/>
      <c r="B118" s="82"/>
      <c r="C118" s="49"/>
      <c r="D118" s="84"/>
      <c r="E118" s="84"/>
      <c r="F118" s="84"/>
      <c r="G118" s="84"/>
      <c r="H118" s="347"/>
      <c r="I118" s="339"/>
      <c r="K118" s="19"/>
    </row>
    <row r="119" spans="1:17" ht="45" customHeight="1" x14ac:dyDescent="0.25">
      <c r="A119" s="4"/>
      <c r="B119" s="59"/>
      <c r="C119" s="84"/>
      <c r="D119" s="84"/>
      <c r="E119" s="84"/>
      <c r="F119" s="84"/>
      <c r="G119" s="84"/>
      <c r="H119" s="347"/>
      <c r="I119" s="339"/>
      <c r="K119" s="19"/>
    </row>
    <row r="120" spans="1:17" x14ac:dyDescent="0.25">
      <c r="A120" s="301" t="s">
        <v>490</v>
      </c>
      <c r="E120" s="4"/>
      <c r="K120" s="19"/>
    </row>
    <row r="121" spans="1:17" x14ac:dyDescent="0.25">
      <c r="A121" s="301" t="s">
        <v>490</v>
      </c>
      <c r="B121" s="10" t="s">
        <v>202</v>
      </c>
      <c r="E121" s="4"/>
      <c r="K121" s="19"/>
    </row>
    <row r="122" spans="1:17" s="7" customFormat="1" ht="48" customHeight="1" x14ac:dyDescent="0.25">
      <c r="A122" s="301" t="s">
        <v>490</v>
      </c>
      <c r="B122" s="103"/>
      <c r="C122" s="90" t="s">
        <v>125</v>
      </c>
      <c r="D122" s="90" t="s">
        <v>126</v>
      </c>
      <c r="E122" s="90" t="s">
        <v>121</v>
      </c>
      <c r="F122" s="90" t="s">
        <v>122</v>
      </c>
      <c r="G122" s="90" t="s">
        <v>123</v>
      </c>
      <c r="H122" s="354" t="s">
        <v>124</v>
      </c>
      <c r="I122" s="344"/>
      <c r="K122" s="19"/>
    </row>
    <row r="123" spans="1:17" ht="45" customHeight="1" x14ac:dyDescent="0.25">
      <c r="A123" s="4"/>
      <c r="B123" s="82"/>
      <c r="C123" s="86"/>
      <c r="D123" s="84"/>
      <c r="E123" s="77"/>
      <c r="F123" s="77"/>
      <c r="G123" s="84"/>
      <c r="H123" s="347"/>
      <c r="I123" s="339"/>
      <c r="K123" s="19"/>
    </row>
    <row r="124" spans="1:17" ht="45" customHeight="1" x14ac:dyDescent="0.25">
      <c r="A124" s="4"/>
      <c r="B124" s="82"/>
      <c r="C124" s="85"/>
      <c r="D124" s="84"/>
      <c r="E124" s="84"/>
      <c r="F124" s="84"/>
      <c r="G124" s="84"/>
      <c r="H124" s="347"/>
      <c r="I124" s="339"/>
      <c r="K124" s="19"/>
    </row>
    <row r="125" spans="1:17" ht="45" customHeight="1" x14ac:dyDescent="0.25">
      <c r="A125" s="4"/>
      <c r="B125" s="82"/>
      <c r="C125" s="84"/>
      <c r="D125" s="84"/>
      <c r="E125" s="84"/>
      <c r="F125" s="84"/>
      <c r="G125" s="84"/>
      <c r="H125" s="347"/>
      <c r="I125" s="339"/>
      <c r="K125" s="19"/>
    </row>
    <row r="126" spans="1:17" ht="45" customHeight="1" x14ac:dyDescent="0.25">
      <c r="A126" s="4"/>
      <c r="B126" s="59"/>
      <c r="C126" s="84"/>
      <c r="D126" s="84"/>
      <c r="E126" s="84"/>
      <c r="F126" s="84"/>
      <c r="G126" s="84"/>
      <c r="H126" s="347"/>
      <c r="I126" s="339"/>
      <c r="K126" s="19"/>
    </row>
    <row r="127" spans="1:17" x14ac:dyDescent="0.25">
      <c r="A127" s="301" t="s">
        <v>490</v>
      </c>
      <c r="E127" s="4"/>
      <c r="K127" s="19"/>
    </row>
    <row r="128" spans="1:17" ht="15" customHeight="1" x14ac:dyDescent="0.25">
      <c r="A128" s="301" t="s">
        <v>490</v>
      </c>
      <c r="B128" s="142" t="s">
        <v>492</v>
      </c>
      <c r="C128" s="142"/>
      <c r="D128" s="142"/>
      <c r="E128" s="142"/>
      <c r="F128" s="142"/>
      <c r="G128" s="142"/>
      <c r="H128" s="142"/>
      <c r="I128" s="142"/>
      <c r="J128" s="142"/>
      <c r="K128" s="142"/>
      <c r="L128" s="10"/>
      <c r="M128" s="10"/>
      <c r="N128" s="10"/>
      <c r="O128" s="10"/>
      <c r="P128" s="10"/>
      <c r="Q128" s="10"/>
    </row>
    <row r="129" spans="1:21" s="24" customFormat="1" ht="39.6" x14ac:dyDescent="0.25">
      <c r="A129" s="301" t="s">
        <v>490</v>
      </c>
      <c r="B129" s="3" t="s">
        <v>267</v>
      </c>
      <c r="C129" s="3" t="s">
        <v>254</v>
      </c>
      <c r="D129" s="387" t="s">
        <v>93</v>
      </c>
      <c r="E129" s="387"/>
      <c r="F129" s="299" t="s">
        <v>255</v>
      </c>
      <c r="G129" s="3" t="s">
        <v>252</v>
      </c>
      <c r="H129" s="387" t="s">
        <v>94</v>
      </c>
      <c r="I129" s="387"/>
      <c r="J129" s="3" t="s">
        <v>256</v>
      </c>
      <c r="K129" s="3" t="s">
        <v>257</v>
      </c>
      <c r="L129" s="3" t="s">
        <v>258</v>
      </c>
      <c r="M129" s="3" t="s">
        <v>259</v>
      </c>
      <c r="N129" s="3" t="s">
        <v>260</v>
      </c>
      <c r="O129" s="3" t="s">
        <v>261</v>
      </c>
      <c r="P129" s="387" t="s">
        <v>262</v>
      </c>
      <c r="Q129" s="387"/>
      <c r="R129" s="387"/>
      <c r="S129" s="387"/>
      <c r="T129" s="255" t="s">
        <v>263</v>
      </c>
      <c r="U129" s="256" t="s">
        <v>264</v>
      </c>
    </row>
    <row r="130" spans="1:21" ht="15" customHeight="1" x14ac:dyDescent="0.25">
      <c r="A130" s="4"/>
      <c r="B130" s="113"/>
      <c r="C130" s="114"/>
      <c r="D130" s="368"/>
      <c r="E130" s="369"/>
      <c r="F130" s="114"/>
      <c r="G130" s="115"/>
      <c r="H130" s="368"/>
      <c r="I130" s="369"/>
      <c r="J130" s="116"/>
      <c r="K130" s="257"/>
      <c r="L130" s="257"/>
      <c r="M130" s="258" t="str">
        <f>IF(K130&gt;0,L130/K130,"0")</f>
        <v>0</v>
      </c>
      <c r="N130" s="258"/>
      <c r="O130" s="259"/>
      <c r="P130" s="385"/>
      <c r="Q130" s="385"/>
      <c r="R130" s="385"/>
      <c r="S130" s="385"/>
      <c r="T130" s="260">
        <f>IF(N130="Financially Closed",L130,IF(OR(N130="Active",N130="Completed"),K130,0))</f>
        <v>0</v>
      </c>
      <c r="U130" s="261">
        <f>IF(N130="Financially Closed",T130,IF(ISBLANK(K130),J130,K130))</f>
        <v>0</v>
      </c>
    </row>
    <row r="131" spans="1:21" ht="15" customHeight="1" x14ac:dyDescent="0.25">
      <c r="A131" s="4"/>
      <c r="B131" s="113"/>
      <c r="C131" s="114"/>
      <c r="D131" s="368"/>
      <c r="E131" s="369"/>
      <c r="F131" s="114"/>
      <c r="G131" s="115"/>
      <c r="H131" s="368"/>
      <c r="I131" s="369"/>
      <c r="J131" s="116"/>
      <c r="K131" s="257"/>
      <c r="L131" s="257"/>
      <c r="M131" s="258" t="str">
        <f t="shared" ref="M131:M138" si="10">IF(K131&gt;0,L131/K131,"0")</f>
        <v>0</v>
      </c>
      <c r="N131" s="258"/>
      <c r="O131" s="259"/>
      <c r="P131" s="385"/>
      <c r="Q131" s="385"/>
      <c r="R131" s="385"/>
      <c r="S131" s="385"/>
      <c r="T131" s="260">
        <f t="shared" ref="T131:T138" si="11">IF(N131="Financially Closed",L131,IF(OR(N131="Active",N131="Completed"),K131,0))</f>
        <v>0</v>
      </c>
      <c r="U131" s="261">
        <f t="shared" ref="U131:U138" si="12">IF(N131="Financially Closed",T131,IF(ISBLANK(K131),J131,K131))</f>
        <v>0</v>
      </c>
    </row>
    <row r="132" spans="1:21" ht="15" customHeight="1" x14ac:dyDescent="0.25">
      <c r="A132" s="4"/>
      <c r="B132" s="113"/>
      <c r="C132" s="114"/>
      <c r="D132" s="368"/>
      <c r="E132" s="369"/>
      <c r="F132" s="114"/>
      <c r="G132" s="115"/>
      <c r="H132" s="368"/>
      <c r="I132" s="369"/>
      <c r="J132" s="116"/>
      <c r="K132" s="257"/>
      <c r="L132" s="257"/>
      <c r="M132" s="258" t="str">
        <f t="shared" si="10"/>
        <v>0</v>
      </c>
      <c r="N132" s="258"/>
      <c r="O132" s="259"/>
      <c r="P132" s="385"/>
      <c r="Q132" s="385"/>
      <c r="R132" s="385"/>
      <c r="S132" s="385"/>
      <c r="T132" s="260">
        <f t="shared" si="11"/>
        <v>0</v>
      </c>
      <c r="U132" s="261">
        <f t="shared" si="12"/>
        <v>0</v>
      </c>
    </row>
    <row r="133" spans="1:21" ht="15" customHeight="1" x14ac:dyDescent="0.25">
      <c r="A133" s="5"/>
      <c r="B133" s="113"/>
      <c r="C133" s="114"/>
      <c r="D133" s="368"/>
      <c r="E133" s="369"/>
      <c r="F133" s="114"/>
      <c r="G133" s="115"/>
      <c r="H133" s="368"/>
      <c r="I133" s="369"/>
      <c r="J133" s="116"/>
      <c r="K133" s="257"/>
      <c r="L133" s="257"/>
      <c r="M133" s="258" t="str">
        <f t="shared" si="10"/>
        <v>0</v>
      </c>
      <c r="N133" s="258"/>
      <c r="O133" s="259"/>
      <c r="P133" s="385"/>
      <c r="Q133" s="385"/>
      <c r="R133" s="385"/>
      <c r="S133" s="385"/>
      <c r="T133" s="260">
        <f t="shared" si="11"/>
        <v>0</v>
      </c>
      <c r="U133" s="261">
        <f t="shared" si="12"/>
        <v>0</v>
      </c>
    </row>
    <row r="134" spans="1:21" ht="15" customHeight="1" x14ac:dyDescent="0.25">
      <c r="A134" s="4"/>
      <c r="B134" s="113"/>
      <c r="C134" s="114"/>
      <c r="D134" s="368"/>
      <c r="E134" s="369"/>
      <c r="F134" s="114"/>
      <c r="G134" s="115"/>
      <c r="H134" s="368"/>
      <c r="I134" s="369"/>
      <c r="J134" s="116"/>
      <c r="K134" s="257"/>
      <c r="L134" s="257"/>
      <c r="M134" s="258" t="str">
        <f>IF(K134&gt;0,L134/K134,"0")</f>
        <v>0</v>
      </c>
      <c r="N134" s="258"/>
      <c r="O134" s="259"/>
      <c r="P134" s="385"/>
      <c r="Q134" s="385"/>
      <c r="R134" s="385"/>
      <c r="S134" s="385"/>
      <c r="T134" s="260">
        <f t="shared" si="11"/>
        <v>0</v>
      </c>
      <c r="U134" s="261">
        <f t="shared" si="12"/>
        <v>0</v>
      </c>
    </row>
    <row r="135" spans="1:21" ht="15" customHeight="1" x14ac:dyDescent="0.25">
      <c r="A135" s="4"/>
      <c r="B135" s="113"/>
      <c r="C135" s="114"/>
      <c r="D135" s="368"/>
      <c r="E135" s="369"/>
      <c r="F135" s="114"/>
      <c r="G135" s="115"/>
      <c r="H135" s="368"/>
      <c r="I135" s="369"/>
      <c r="J135" s="116"/>
      <c r="K135" s="257"/>
      <c r="L135" s="257"/>
      <c r="M135" s="258" t="str">
        <f t="shared" si="10"/>
        <v>0</v>
      </c>
      <c r="N135" s="258"/>
      <c r="O135" s="259"/>
      <c r="P135" s="385"/>
      <c r="Q135" s="385"/>
      <c r="R135" s="385"/>
      <c r="S135" s="385"/>
      <c r="T135" s="260">
        <f t="shared" si="11"/>
        <v>0</v>
      </c>
      <c r="U135" s="261">
        <f t="shared" si="12"/>
        <v>0</v>
      </c>
    </row>
    <row r="136" spans="1:21" ht="15" customHeight="1" x14ac:dyDescent="0.25">
      <c r="A136" s="24"/>
      <c r="B136" s="113"/>
      <c r="C136" s="114"/>
      <c r="D136" s="368"/>
      <c r="E136" s="369"/>
      <c r="F136" s="114"/>
      <c r="G136" s="115"/>
      <c r="H136" s="368"/>
      <c r="I136" s="369"/>
      <c r="J136" s="116"/>
      <c r="K136" s="257"/>
      <c r="L136" s="257"/>
      <c r="M136" s="258" t="str">
        <f t="shared" si="10"/>
        <v>0</v>
      </c>
      <c r="N136" s="258"/>
      <c r="O136" s="259"/>
      <c r="P136" s="385"/>
      <c r="Q136" s="385"/>
      <c r="R136" s="385"/>
      <c r="S136" s="385"/>
      <c r="T136" s="260">
        <f t="shared" si="11"/>
        <v>0</v>
      </c>
      <c r="U136" s="261">
        <f t="shared" si="12"/>
        <v>0</v>
      </c>
    </row>
    <row r="137" spans="1:21" ht="15" customHeight="1" x14ac:dyDescent="0.25">
      <c r="A137" s="4"/>
      <c r="B137" s="113"/>
      <c r="C137" s="114"/>
      <c r="D137" s="368"/>
      <c r="E137" s="369"/>
      <c r="F137" s="114"/>
      <c r="G137" s="115"/>
      <c r="H137" s="368"/>
      <c r="I137" s="369"/>
      <c r="J137" s="116"/>
      <c r="K137" s="257"/>
      <c r="L137" s="257"/>
      <c r="M137" s="258" t="str">
        <f t="shared" si="10"/>
        <v>0</v>
      </c>
      <c r="N137" s="258"/>
      <c r="O137" s="259"/>
      <c r="P137" s="385"/>
      <c r="Q137" s="385"/>
      <c r="R137" s="385"/>
      <c r="S137" s="385"/>
      <c r="T137" s="260">
        <f t="shared" si="11"/>
        <v>0</v>
      </c>
      <c r="U137" s="261">
        <f t="shared" si="12"/>
        <v>0</v>
      </c>
    </row>
    <row r="138" spans="1:21" ht="15" customHeight="1" x14ac:dyDescent="0.25">
      <c r="A138" s="4"/>
      <c r="B138" s="113"/>
      <c r="C138" s="114"/>
      <c r="D138" s="368"/>
      <c r="E138" s="369"/>
      <c r="F138" s="114"/>
      <c r="G138" s="115"/>
      <c r="H138" s="368"/>
      <c r="I138" s="369"/>
      <c r="J138" s="116"/>
      <c r="K138" s="257"/>
      <c r="L138" s="257"/>
      <c r="M138" s="258" t="str">
        <f t="shared" si="10"/>
        <v>0</v>
      </c>
      <c r="N138" s="258"/>
      <c r="O138" s="259"/>
      <c r="P138" s="385"/>
      <c r="Q138" s="385"/>
      <c r="R138" s="385"/>
      <c r="S138" s="385"/>
      <c r="T138" s="260">
        <f t="shared" si="11"/>
        <v>0</v>
      </c>
      <c r="U138" s="261">
        <f t="shared" si="12"/>
        <v>0</v>
      </c>
    </row>
    <row r="139" spans="1:21" ht="15" customHeight="1" x14ac:dyDescent="0.25">
      <c r="A139" s="4"/>
      <c r="B139" s="300" t="s">
        <v>265</v>
      </c>
      <c r="C139" s="262"/>
      <c r="D139" s="263"/>
      <c r="E139" s="263"/>
      <c r="F139" s="262"/>
      <c r="G139" s="264"/>
      <c r="H139" s="263"/>
      <c r="I139" s="265"/>
      <c r="J139" s="116"/>
      <c r="K139" s="257"/>
      <c r="L139" s="257"/>
      <c r="M139" s="266"/>
      <c r="N139" s="266"/>
      <c r="O139" s="267"/>
      <c r="P139" s="268"/>
      <c r="Q139" s="268"/>
      <c r="R139" s="268"/>
      <c r="S139" s="268"/>
      <c r="T139" s="261">
        <f t="shared" ref="T139" si="13">IF(ISBLANK($J139),$I139,$J139)</f>
        <v>0</v>
      </c>
      <c r="U139" s="261"/>
    </row>
    <row r="140" spans="1:21" ht="15" customHeight="1" x14ac:dyDescent="0.25">
      <c r="A140" s="4"/>
      <c r="B140" s="117"/>
      <c r="C140" s="118"/>
      <c r="D140" s="118"/>
      <c r="E140" s="79"/>
      <c r="F140" s="119"/>
      <c r="G140" s="119"/>
      <c r="H140" s="376" t="s">
        <v>102</v>
      </c>
      <c r="I140" s="377"/>
      <c r="J140" s="269">
        <f>SUM(J130:J139)</f>
        <v>0</v>
      </c>
      <c r="K140" s="269">
        <f>SUM(K130:K139)</f>
        <v>0</v>
      </c>
      <c r="L140" s="269">
        <f>SUM(L130:L139)</f>
        <v>0</v>
      </c>
      <c r="M140" s="270" t="str">
        <f>IF(K140&gt;0,L140/K140,"0")</f>
        <v>0</v>
      </c>
      <c r="N140" s="271"/>
      <c r="O140" s="272"/>
      <c r="P140" s="272"/>
      <c r="Q140" s="272"/>
      <c r="R140" s="272"/>
      <c r="S140" s="273"/>
      <c r="T140" s="261"/>
      <c r="U140" s="261"/>
    </row>
    <row r="141" spans="1:21" ht="15" customHeight="1" x14ac:dyDescent="0.25">
      <c r="A141" s="4"/>
      <c r="B141" s="120"/>
      <c r="C141" s="121"/>
      <c r="D141" s="122"/>
      <c r="E141" s="123"/>
      <c r="F141" s="124"/>
      <c r="G141" s="125"/>
      <c r="H141" s="370"/>
      <c r="I141" s="371"/>
      <c r="J141" s="126"/>
      <c r="K141" s="274"/>
      <c r="L141" s="275"/>
      <c r="M141" s="276" t="str">
        <f t="shared" ref="M141:M142" si="14">IF(K141&gt;0,L141/K141,"0")</f>
        <v>0</v>
      </c>
      <c r="N141" s="277"/>
      <c r="O141" s="278"/>
      <c r="P141" s="279"/>
      <c r="Q141" s="279"/>
      <c r="R141" s="279"/>
      <c r="S141" s="24"/>
      <c r="T141" s="261">
        <f t="shared" ref="T141:T143" si="15">IF(N141="Financially Closed",L141,IF(OR(N141="Active",N141="Completed"),K141,0))</f>
        <v>0</v>
      </c>
      <c r="U141" s="261">
        <f t="shared" ref="U141:U143" si="16">IF(N141="Financially Closed",T141,IF(ISBLANK(K141),J141,K141))</f>
        <v>0</v>
      </c>
    </row>
    <row r="142" spans="1:21" ht="15" customHeight="1" x14ac:dyDescent="0.25">
      <c r="A142" s="4"/>
      <c r="B142" s="127"/>
      <c r="C142" s="128"/>
      <c r="D142" s="129"/>
      <c r="E142" s="130"/>
      <c r="F142" s="131"/>
      <c r="G142" s="132"/>
      <c r="H142" s="372"/>
      <c r="I142" s="373"/>
      <c r="J142" s="133"/>
      <c r="K142" s="280"/>
      <c r="L142" s="281"/>
      <c r="M142" s="282" t="str">
        <f t="shared" si="14"/>
        <v>0</v>
      </c>
      <c r="N142" s="283"/>
      <c r="O142" s="278"/>
      <c r="P142" s="279"/>
      <c r="Q142" s="279"/>
      <c r="R142" s="279"/>
      <c r="S142" s="24"/>
      <c r="T142" s="261">
        <f t="shared" si="15"/>
        <v>0</v>
      </c>
      <c r="U142" s="261">
        <f t="shared" si="16"/>
        <v>0</v>
      </c>
    </row>
    <row r="143" spans="1:21" ht="15" customHeight="1" x14ac:dyDescent="0.25">
      <c r="A143" s="4"/>
      <c r="B143" s="134"/>
      <c r="C143" s="135"/>
      <c r="D143" s="136"/>
      <c r="E143" s="137"/>
      <c r="F143" s="138"/>
      <c r="G143" s="139"/>
      <c r="H143" s="374"/>
      <c r="I143" s="375"/>
      <c r="J143" s="140"/>
      <c r="K143" s="284"/>
      <c r="L143" s="285"/>
      <c r="M143" s="286" t="str">
        <f>IF(K143&gt;0,L143/K143,"0")</f>
        <v>0</v>
      </c>
      <c r="N143" s="287"/>
      <c r="O143" s="278"/>
      <c r="P143" s="279"/>
      <c r="Q143" s="279"/>
      <c r="R143" s="279"/>
      <c r="S143" s="24"/>
      <c r="T143" s="261">
        <f t="shared" si="15"/>
        <v>0</v>
      </c>
      <c r="U143" s="261">
        <f t="shared" si="16"/>
        <v>0</v>
      </c>
    </row>
    <row r="144" spans="1:21" x14ac:dyDescent="0.25">
      <c r="A144" s="5"/>
      <c r="B144" s="141"/>
      <c r="C144" s="118"/>
      <c r="D144" s="118"/>
      <c r="E144" s="79"/>
      <c r="F144" s="119"/>
      <c r="G144" s="119"/>
      <c r="H144" s="404" t="s">
        <v>266</v>
      </c>
      <c r="I144" s="405"/>
      <c r="J144" s="288">
        <f>SUM(J140:J143)</f>
        <v>0</v>
      </c>
      <c r="K144" s="289">
        <f>SUM(K140:K143)</f>
        <v>0</v>
      </c>
      <c r="L144" s="289">
        <f>SUM(L140:L143)</f>
        <v>0</v>
      </c>
      <c r="M144" s="290" t="str">
        <f>IF(K144&gt;0,L144/K144,"0")</f>
        <v>0</v>
      </c>
      <c r="N144" s="278"/>
      <c r="O144" s="272"/>
      <c r="P144" s="272"/>
      <c r="Q144" s="272"/>
      <c r="R144" s="272"/>
      <c r="S144" s="273"/>
      <c r="T144" s="144"/>
      <c r="U144" s="144"/>
    </row>
    <row r="145" spans="1:32" x14ac:dyDescent="0.25">
      <c r="A145" s="301" t="s">
        <v>490</v>
      </c>
      <c r="B145" s="118"/>
      <c r="C145" s="118"/>
      <c r="D145" s="118"/>
      <c r="E145" s="79"/>
      <c r="F145" s="119"/>
      <c r="G145" s="119"/>
      <c r="H145" s="179"/>
      <c r="I145" s="179"/>
      <c r="J145" s="291"/>
      <c r="K145" s="291"/>
      <c r="L145" s="291"/>
      <c r="M145" s="278"/>
      <c r="N145" s="278"/>
      <c r="O145" s="272"/>
      <c r="P145" s="272"/>
      <c r="Q145" s="272"/>
      <c r="R145" s="272"/>
      <c r="S145" s="273"/>
      <c r="T145" s="40"/>
      <c r="U145" s="40"/>
    </row>
    <row r="146" spans="1:32" ht="15" customHeight="1" x14ac:dyDescent="0.25">
      <c r="A146" s="301" t="s">
        <v>490</v>
      </c>
      <c r="B146" s="292" t="s">
        <v>493</v>
      </c>
      <c r="C146" s="28"/>
      <c r="D146" s="28"/>
      <c r="E146" s="28"/>
      <c r="F146" s="28"/>
      <c r="G146" s="28"/>
      <c r="H146" s="28"/>
      <c r="I146" s="28"/>
      <c r="J146" s="28"/>
      <c r="K146" s="28"/>
      <c r="L146" s="2"/>
      <c r="M146" s="2"/>
      <c r="R146" s="293"/>
    </row>
    <row r="147" spans="1:32" ht="26.25" customHeight="1" x14ac:dyDescent="0.25">
      <c r="A147" s="301" t="s">
        <v>490</v>
      </c>
      <c r="B147" s="386" t="s">
        <v>456</v>
      </c>
      <c r="C147" s="386"/>
      <c r="D147" s="386"/>
      <c r="E147" s="386"/>
      <c r="F147" s="3" t="s">
        <v>457</v>
      </c>
      <c r="G147" s="3" t="s">
        <v>451</v>
      </c>
      <c r="H147" s="3" t="s">
        <v>241</v>
      </c>
      <c r="I147" s="3" t="s">
        <v>242</v>
      </c>
      <c r="J147" s="387" t="s">
        <v>458</v>
      </c>
      <c r="K147" s="387"/>
      <c r="L147" s="387"/>
      <c r="M147" s="387"/>
      <c r="N147" s="388" t="s">
        <v>401</v>
      </c>
      <c r="O147" s="389"/>
      <c r="P147" s="389"/>
      <c r="Q147" s="389"/>
      <c r="R147" s="390"/>
    </row>
    <row r="148" spans="1:32" ht="15" customHeight="1" x14ac:dyDescent="0.25">
      <c r="A148" s="4"/>
      <c r="B148" s="180" t="s">
        <v>459</v>
      </c>
      <c r="C148" s="181"/>
      <c r="D148" s="420"/>
      <c r="E148" s="420"/>
      <c r="F148" s="420"/>
      <c r="G148" s="420"/>
      <c r="H148" s="420"/>
      <c r="I148" s="420"/>
      <c r="J148" s="420"/>
      <c r="K148" s="420"/>
      <c r="L148" s="420"/>
      <c r="M148" s="420"/>
      <c r="N148" s="420"/>
      <c r="O148" s="420"/>
      <c r="P148" s="420"/>
      <c r="Q148" s="420"/>
      <c r="R148" s="421"/>
    </row>
    <row r="149" spans="1:32" ht="15" customHeight="1" x14ac:dyDescent="0.25">
      <c r="A149" s="4"/>
      <c r="B149" s="398"/>
      <c r="C149" s="399"/>
      <c r="D149" s="400"/>
      <c r="E149" s="400"/>
      <c r="F149" s="182"/>
      <c r="G149" s="183"/>
      <c r="H149" s="184"/>
      <c r="I149" s="185">
        <f>IF(ISBLANK(G149),0,(VLOOKUP(H149,#REF!,2,FALSE))*G149)</f>
        <v>0</v>
      </c>
      <c r="J149" s="400"/>
      <c r="K149" s="400"/>
      <c r="L149" s="400"/>
      <c r="M149" s="400"/>
      <c r="N149" s="401"/>
      <c r="O149" s="402"/>
      <c r="P149" s="402"/>
      <c r="Q149" s="402"/>
      <c r="R149" s="403"/>
    </row>
    <row r="150" spans="1:32" ht="15" customHeight="1" x14ac:dyDescent="0.25">
      <c r="A150" s="4"/>
      <c r="B150" s="406"/>
      <c r="C150" s="407"/>
      <c r="D150" s="408"/>
      <c r="E150" s="408"/>
      <c r="F150" s="186"/>
      <c r="G150" s="187"/>
      <c r="H150" s="188"/>
      <c r="I150" s="185">
        <f>IF(ISBLANK(G150),0,(VLOOKUP(H150,#REF!,2,FALSE))*G150)</f>
        <v>0</v>
      </c>
      <c r="J150" s="409"/>
      <c r="K150" s="409"/>
      <c r="L150" s="409"/>
      <c r="M150" s="409"/>
      <c r="N150" s="410"/>
      <c r="O150" s="411"/>
      <c r="P150" s="411"/>
      <c r="Q150" s="411"/>
      <c r="R150" s="412"/>
    </row>
    <row r="151" spans="1:32" ht="15" customHeight="1" x14ac:dyDescent="0.25">
      <c r="A151" s="4"/>
      <c r="B151" s="413"/>
      <c r="C151" s="414"/>
      <c r="D151" s="415"/>
      <c r="E151" s="415"/>
      <c r="F151" s="189"/>
      <c r="G151" s="190"/>
      <c r="H151" s="191"/>
      <c r="I151" s="192">
        <v>0</v>
      </c>
      <c r="J151" s="416"/>
      <c r="K151" s="416"/>
      <c r="L151" s="416"/>
      <c r="M151" s="416"/>
      <c r="N151" s="417"/>
      <c r="O151" s="418"/>
      <c r="P151" s="418"/>
      <c r="Q151" s="418"/>
      <c r="R151" s="419"/>
    </row>
    <row r="152" spans="1:32" ht="15" customHeight="1" x14ac:dyDescent="0.25">
      <c r="A152" s="4"/>
      <c r="B152" s="180" t="s">
        <v>460</v>
      </c>
      <c r="C152" s="181"/>
      <c r="D152" s="420"/>
      <c r="E152" s="420"/>
      <c r="F152" s="420"/>
      <c r="G152" s="420"/>
      <c r="H152" s="420"/>
      <c r="I152" s="420"/>
      <c r="J152" s="420"/>
      <c r="K152" s="420"/>
      <c r="L152" s="420"/>
      <c r="M152" s="420"/>
      <c r="N152" s="420"/>
      <c r="O152" s="420"/>
      <c r="P152" s="420"/>
      <c r="Q152" s="420"/>
      <c r="R152" s="421"/>
    </row>
    <row r="153" spans="1:32" ht="15" customHeight="1" x14ac:dyDescent="0.25">
      <c r="A153" s="4"/>
      <c r="B153" s="422"/>
      <c r="C153" s="423"/>
      <c r="D153" s="424"/>
      <c r="E153" s="424"/>
      <c r="F153" s="193"/>
      <c r="G153" s="194"/>
      <c r="H153" s="195"/>
      <c r="I153" s="185">
        <f>IF(ISBLANK(G153),0,(VLOOKUP(H153,#REF!,2,FALSE))*G153)</f>
        <v>0</v>
      </c>
      <c r="J153" s="400"/>
      <c r="K153" s="400"/>
      <c r="L153" s="400"/>
      <c r="M153" s="400"/>
      <c r="N153" s="425"/>
      <c r="O153" s="426"/>
      <c r="P153" s="426"/>
      <c r="Q153" s="426"/>
      <c r="R153" s="427"/>
    </row>
    <row r="154" spans="1:32" ht="15" customHeight="1" x14ac:dyDescent="0.25">
      <c r="A154" s="4"/>
      <c r="B154" s="428"/>
      <c r="C154" s="429"/>
      <c r="D154" s="430"/>
      <c r="E154" s="430"/>
      <c r="F154" s="196"/>
      <c r="G154" s="197"/>
      <c r="H154" s="198"/>
      <c r="I154" s="185">
        <f>IF(ISBLANK(G154),0,(VLOOKUP(H154,#REF!,2,FALSE))*G154)</f>
        <v>0</v>
      </c>
      <c r="J154" s="430"/>
      <c r="K154" s="430"/>
      <c r="L154" s="430"/>
      <c r="M154" s="430"/>
      <c r="N154" s="431"/>
      <c r="O154" s="432"/>
      <c r="P154" s="432"/>
      <c r="Q154" s="432"/>
      <c r="R154" s="433"/>
    </row>
    <row r="155" spans="1:32" ht="15" customHeight="1" x14ac:dyDescent="0.25">
      <c r="A155" s="4"/>
      <c r="B155" s="428"/>
      <c r="C155" s="429"/>
      <c r="D155" s="430"/>
      <c r="E155" s="430"/>
      <c r="F155" s="196"/>
      <c r="G155" s="197"/>
      <c r="H155" s="198"/>
      <c r="I155" s="185">
        <f>IF(ISBLANK(G155),0,(VLOOKUP(H155,#REF!,2,FALSE))*G155)</f>
        <v>0</v>
      </c>
      <c r="J155" s="430"/>
      <c r="K155" s="430"/>
      <c r="L155" s="430"/>
      <c r="M155" s="430"/>
      <c r="N155" s="431"/>
      <c r="O155" s="432"/>
      <c r="P155" s="432"/>
      <c r="Q155" s="432"/>
      <c r="R155" s="433"/>
    </row>
    <row r="156" spans="1:32" ht="15" customHeight="1" x14ac:dyDescent="0.25">
      <c r="A156" s="4"/>
      <c r="B156" s="428"/>
      <c r="C156" s="429"/>
      <c r="D156" s="430"/>
      <c r="E156" s="430"/>
      <c r="F156" s="196"/>
      <c r="G156" s="197"/>
      <c r="H156" s="198"/>
      <c r="I156" s="185">
        <f>IF(ISBLANK(G156),0,(VLOOKUP(H156,#REF!,2,FALSE))*G156)</f>
        <v>0</v>
      </c>
      <c r="J156" s="430"/>
      <c r="K156" s="430"/>
      <c r="L156" s="430"/>
      <c r="M156" s="430"/>
      <c r="N156" s="431"/>
      <c r="O156" s="432"/>
      <c r="P156" s="432"/>
      <c r="Q156" s="432"/>
      <c r="R156" s="433"/>
    </row>
    <row r="157" spans="1:32" ht="15" customHeight="1" x14ac:dyDescent="0.25">
      <c r="A157" s="4"/>
      <c r="B157" s="434"/>
      <c r="C157" s="407"/>
      <c r="D157" s="408"/>
      <c r="E157" s="408"/>
      <c r="F157" s="186"/>
      <c r="G157" s="187"/>
      <c r="H157" s="188"/>
      <c r="I157" s="185">
        <f>IF(ISBLANK(G157),0,(VLOOKUP(H157,#REF!,2,FALSE))*G157)</f>
        <v>0</v>
      </c>
      <c r="J157" s="409"/>
      <c r="K157" s="409"/>
      <c r="L157" s="409"/>
      <c r="M157" s="409"/>
      <c r="N157" s="410"/>
      <c r="O157" s="411"/>
      <c r="P157" s="411"/>
      <c r="Q157" s="411"/>
      <c r="R157" s="412"/>
      <c r="V157" s="199"/>
      <c r="W157" s="199"/>
      <c r="X157" s="199"/>
      <c r="Y157" s="199"/>
      <c r="Z157" s="199"/>
      <c r="AA157" s="199"/>
      <c r="AB157" s="199"/>
      <c r="AC157" s="199"/>
      <c r="AD157" s="199"/>
      <c r="AE157" s="199"/>
      <c r="AF157" s="199"/>
    </row>
    <row r="158" spans="1:32" ht="15" customHeight="1" x14ac:dyDescent="0.25">
      <c r="A158" s="4"/>
      <c r="B158" s="180" t="s">
        <v>461</v>
      </c>
      <c r="C158" s="181"/>
      <c r="D158" s="420"/>
      <c r="E158" s="420"/>
      <c r="F158" s="420"/>
      <c r="G158" s="420"/>
      <c r="H158" s="420"/>
      <c r="I158" s="420"/>
      <c r="J158" s="420"/>
      <c r="K158" s="420"/>
      <c r="L158" s="420"/>
      <c r="M158" s="420"/>
      <c r="N158" s="420"/>
      <c r="O158" s="420"/>
      <c r="P158" s="420"/>
      <c r="Q158" s="420"/>
      <c r="R158" s="421"/>
      <c r="V158" s="199"/>
      <c r="W158" s="199"/>
      <c r="X158" s="199"/>
      <c r="Y158" s="199"/>
      <c r="Z158" s="199"/>
      <c r="AA158" s="199"/>
      <c r="AB158" s="199"/>
      <c r="AC158" s="199"/>
      <c r="AD158" s="199"/>
      <c r="AE158" s="199"/>
      <c r="AF158" s="199"/>
    </row>
    <row r="159" spans="1:32" ht="15" customHeight="1" x14ac:dyDescent="0.25">
      <c r="A159" s="4"/>
      <c r="B159" s="422"/>
      <c r="C159" s="423"/>
      <c r="D159" s="424"/>
      <c r="E159" s="424"/>
      <c r="F159" s="193"/>
      <c r="G159" s="194"/>
      <c r="H159" s="195"/>
      <c r="I159" s="185">
        <f>IF(ISBLANK(G159),0,(VLOOKUP(H159,#REF!,2,FALSE))*G159)</f>
        <v>0</v>
      </c>
      <c r="J159" s="400"/>
      <c r="K159" s="400"/>
      <c r="L159" s="400"/>
      <c r="M159" s="400"/>
      <c r="N159" s="425"/>
      <c r="O159" s="426"/>
      <c r="P159" s="426"/>
      <c r="Q159" s="426"/>
      <c r="R159" s="427"/>
      <c r="V159" s="199"/>
      <c r="W159" s="199"/>
      <c r="X159" s="199"/>
      <c r="Y159" s="199"/>
      <c r="Z159" s="199"/>
      <c r="AA159" s="199"/>
      <c r="AB159" s="199"/>
      <c r="AC159" s="199"/>
      <c r="AD159" s="199"/>
      <c r="AE159" s="199"/>
      <c r="AF159" s="199"/>
    </row>
    <row r="160" spans="1:32" ht="15" customHeight="1" x14ac:dyDescent="0.25">
      <c r="A160" s="4"/>
      <c r="B160" s="428"/>
      <c r="C160" s="429"/>
      <c r="D160" s="430"/>
      <c r="E160" s="430"/>
      <c r="F160" s="196"/>
      <c r="G160" s="197"/>
      <c r="H160" s="198"/>
      <c r="I160" s="185">
        <f>IF(ISBLANK(G160),0,(VLOOKUP(H160,#REF!,2,FALSE))*G160)</f>
        <v>0</v>
      </c>
      <c r="J160" s="430"/>
      <c r="K160" s="430"/>
      <c r="L160" s="430"/>
      <c r="M160" s="430"/>
      <c r="N160" s="431"/>
      <c r="O160" s="432"/>
      <c r="P160" s="432"/>
      <c r="Q160" s="432"/>
      <c r="R160" s="433"/>
    </row>
    <row r="161" spans="1:34" ht="15" customHeight="1" x14ac:dyDescent="0.25">
      <c r="A161" s="4"/>
      <c r="B161" s="434"/>
      <c r="C161" s="407"/>
      <c r="D161" s="408"/>
      <c r="E161" s="408"/>
      <c r="F161" s="186"/>
      <c r="G161" s="187"/>
      <c r="H161" s="188"/>
      <c r="I161" s="185">
        <f>IF(ISBLANK(G161),0,(VLOOKUP(H161,#REF!,2,FALSE))*G161)</f>
        <v>0</v>
      </c>
      <c r="J161" s="409"/>
      <c r="K161" s="409"/>
      <c r="L161" s="409"/>
      <c r="M161" s="409"/>
      <c r="N161" s="410"/>
      <c r="O161" s="411"/>
      <c r="P161" s="411"/>
      <c r="Q161" s="411"/>
      <c r="R161" s="412"/>
    </row>
    <row r="162" spans="1:34" ht="15" customHeight="1" x14ac:dyDescent="0.25">
      <c r="A162" s="4"/>
      <c r="B162" s="180" t="s">
        <v>462</v>
      </c>
      <c r="C162" s="181"/>
      <c r="D162" s="420"/>
      <c r="E162" s="420"/>
      <c r="F162" s="420"/>
      <c r="G162" s="420"/>
      <c r="H162" s="420"/>
      <c r="I162" s="420"/>
      <c r="J162" s="420"/>
      <c r="K162" s="420"/>
      <c r="L162" s="420"/>
      <c r="M162" s="420"/>
      <c r="N162" s="420"/>
      <c r="O162" s="420"/>
      <c r="P162" s="420"/>
      <c r="Q162" s="420"/>
      <c r="R162" s="421"/>
      <c r="V162" s="199"/>
      <c r="W162" s="199"/>
      <c r="X162" s="199"/>
      <c r="Y162" s="199"/>
      <c r="Z162" s="199"/>
      <c r="AA162" s="199"/>
      <c r="AB162" s="199"/>
      <c r="AC162" s="199"/>
      <c r="AD162" s="199"/>
      <c r="AE162" s="199"/>
      <c r="AF162" s="199"/>
    </row>
    <row r="163" spans="1:34" ht="15" customHeight="1" x14ac:dyDescent="0.25">
      <c r="A163" s="4"/>
      <c r="B163" s="435"/>
      <c r="C163" s="414"/>
      <c r="D163" s="415"/>
      <c r="E163" s="415"/>
      <c r="F163" s="189"/>
      <c r="G163" s="190"/>
      <c r="H163" s="191"/>
      <c r="I163" s="192">
        <v>0</v>
      </c>
      <c r="J163" s="416"/>
      <c r="K163" s="416"/>
      <c r="L163" s="416"/>
      <c r="M163" s="416"/>
      <c r="N163" s="417"/>
      <c r="O163" s="418"/>
      <c r="P163" s="418"/>
      <c r="Q163" s="418"/>
      <c r="R163" s="419"/>
      <c r="V163" s="199"/>
      <c r="W163" s="199"/>
      <c r="X163" s="199"/>
      <c r="Y163" s="199"/>
      <c r="Z163" s="199"/>
      <c r="AA163" s="199"/>
      <c r="AB163" s="199"/>
      <c r="AC163" s="199"/>
      <c r="AD163" s="199"/>
      <c r="AE163" s="199"/>
      <c r="AF163" s="199"/>
    </row>
    <row r="164" spans="1:34" ht="15" customHeight="1" x14ac:dyDescent="0.25">
      <c r="A164" s="4"/>
      <c r="B164" s="413"/>
      <c r="C164" s="414"/>
      <c r="D164" s="415"/>
      <c r="E164" s="415"/>
      <c r="F164" s="189"/>
      <c r="G164" s="190"/>
      <c r="H164" s="191"/>
      <c r="I164" s="192">
        <v>0</v>
      </c>
      <c r="J164" s="416"/>
      <c r="K164" s="416"/>
      <c r="L164" s="416"/>
      <c r="M164" s="416"/>
      <c r="N164" s="417"/>
      <c r="O164" s="418"/>
      <c r="P164" s="418"/>
      <c r="Q164" s="418"/>
      <c r="R164" s="419"/>
    </row>
    <row r="165" spans="1:34" ht="15" customHeight="1" x14ac:dyDescent="0.25">
      <c r="A165" s="4"/>
      <c r="B165" s="413"/>
      <c r="C165" s="414"/>
      <c r="D165" s="415"/>
      <c r="E165" s="415"/>
      <c r="F165" s="189"/>
      <c r="G165" s="190"/>
      <c r="H165" s="191"/>
      <c r="I165" s="192">
        <v>0</v>
      </c>
      <c r="J165" s="416"/>
      <c r="K165" s="416"/>
      <c r="L165" s="416"/>
      <c r="M165" s="416"/>
      <c r="N165" s="417"/>
      <c r="O165" s="418"/>
      <c r="P165" s="418"/>
      <c r="Q165" s="418"/>
      <c r="R165" s="419"/>
    </row>
    <row r="166" spans="1:34" ht="15" customHeight="1" x14ac:dyDescent="0.25">
      <c r="A166" s="4"/>
      <c r="B166" s="180" t="s">
        <v>463</v>
      </c>
      <c r="C166" s="181"/>
      <c r="D166" s="420"/>
      <c r="E166" s="420"/>
      <c r="F166" s="420"/>
      <c r="G166" s="420"/>
      <c r="H166" s="420"/>
      <c r="I166" s="420"/>
      <c r="J166" s="420"/>
      <c r="K166" s="420"/>
      <c r="L166" s="420"/>
      <c r="M166" s="420"/>
      <c r="N166" s="420"/>
      <c r="O166" s="420"/>
      <c r="P166" s="420"/>
      <c r="Q166" s="420"/>
      <c r="R166" s="421"/>
    </row>
    <row r="167" spans="1:34" ht="15" customHeight="1" x14ac:dyDescent="0.25">
      <c r="A167" s="4"/>
      <c r="B167" s="435"/>
      <c r="C167" s="414"/>
      <c r="D167" s="415"/>
      <c r="E167" s="415"/>
      <c r="F167" s="189"/>
      <c r="G167" s="190"/>
      <c r="H167" s="191"/>
      <c r="I167" s="192">
        <v>0</v>
      </c>
      <c r="J167" s="416"/>
      <c r="K167" s="416"/>
      <c r="L167" s="416"/>
      <c r="M167" s="416"/>
      <c r="N167" s="417"/>
      <c r="O167" s="418"/>
      <c r="P167" s="418"/>
      <c r="Q167" s="418"/>
      <c r="R167" s="419"/>
    </row>
    <row r="168" spans="1:34" ht="15" customHeight="1" x14ac:dyDescent="0.25">
      <c r="A168" s="4"/>
      <c r="B168" s="413"/>
      <c r="C168" s="414"/>
      <c r="D168" s="415"/>
      <c r="E168" s="415"/>
      <c r="F168" s="189"/>
      <c r="G168" s="190"/>
      <c r="H168" s="191"/>
      <c r="I168" s="192">
        <v>0</v>
      </c>
      <c r="J168" s="416"/>
      <c r="K168" s="416"/>
      <c r="L168" s="416"/>
      <c r="M168" s="416"/>
      <c r="N168" s="417"/>
      <c r="O168" s="418"/>
      <c r="P168" s="418"/>
      <c r="Q168" s="418"/>
      <c r="R168" s="419"/>
    </row>
    <row r="169" spans="1:34" ht="15" customHeight="1" x14ac:dyDescent="0.25">
      <c r="A169" s="4"/>
      <c r="B169" s="413"/>
      <c r="C169" s="414"/>
      <c r="D169" s="415"/>
      <c r="E169" s="415"/>
      <c r="F169" s="189"/>
      <c r="G169" s="190"/>
      <c r="H169" s="191"/>
      <c r="I169" s="192">
        <v>0</v>
      </c>
      <c r="J169" s="416"/>
      <c r="K169" s="416"/>
      <c r="L169" s="416"/>
      <c r="M169" s="416"/>
      <c r="N169" s="417"/>
      <c r="O169" s="418"/>
      <c r="P169" s="418"/>
      <c r="Q169" s="418"/>
      <c r="R169" s="419"/>
    </row>
    <row r="170" spans="1:34" ht="15" customHeight="1" x14ac:dyDescent="0.25">
      <c r="A170" s="4"/>
      <c r="B170" s="200"/>
      <c r="C170" s="201"/>
      <c r="D170" s="201"/>
      <c r="E170" s="201"/>
      <c r="F170" s="202"/>
      <c r="G170" s="203"/>
      <c r="H170" s="204"/>
      <c r="I170" s="205"/>
      <c r="J170" s="201"/>
      <c r="K170" s="201"/>
      <c r="L170" s="201"/>
      <c r="M170" s="201"/>
      <c r="N170" s="201"/>
      <c r="O170" s="201"/>
      <c r="P170" s="201"/>
      <c r="Q170" s="201"/>
      <c r="R170" s="206"/>
    </row>
    <row r="171" spans="1:34" s="5" customFormat="1" ht="15" customHeight="1" x14ac:dyDescent="0.25">
      <c r="B171" s="445" t="s">
        <v>464</v>
      </c>
      <c r="C171" s="446"/>
      <c r="D171" s="446"/>
      <c r="E171" s="446"/>
      <c r="F171" s="210"/>
      <c r="G171" s="207">
        <f>SUM(G149:G169)</f>
        <v>0</v>
      </c>
      <c r="H171" s="208" t="str">
        <f>IF(I171&gt;=0.85,"On Track",IF(I171&gt;=0.7,"For Attention","At Risk"))</f>
        <v>At Risk</v>
      </c>
      <c r="I171" s="209">
        <f>SUM(I149:I170)</f>
        <v>0</v>
      </c>
      <c r="J171" s="210"/>
      <c r="K171" s="210"/>
      <c r="L171" s="210"/>
      <c r="M171" s="210"/>
      <c r="N171" s="210"/>
      <c r="O171" s="210"/>
      <c r="P171" s="210"/>
      <c r="Q171" s="210"/>
      <c r="R171" s="211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x14ac:dyDescent="0.25">
      <c r="A172" s="301" t="s">
        <v>490</v>
      </c>
      <c r="E172" s="4"/>
    </row>
    <row r="173" spans="1:34" ht="15" customHeight="1" x14ac:dyDescent="0.25">
      <c r="A173" s="301" t="s">
        <v>490</v>
      </c>
      <c r="B173" s="308" t="s">
        <v>494</v>
      </c>
      <c r="C173" s="308"/>
      <c r="D173" s="308"/>
      <c r="E173" s="308"/>
      <c r="F173" s="308"/>
      <c r="G173" s="308"/>
      <c r="H173" s="308"/>
      <c r="I173" s="308"/>
      <c r="J173" s="308"/>
      <c r="K173" s="81"/>
      <c r="R173" s="293"/>
    </row>
    <row r="174" spans="1:34" s="24" customFormat="1" ht="17.25" customHeight="1" x14ac:dyDescent="0.25">
      <c r="A174" s="301" t="s">
        <v>490</v>
      </c>
      <c r="B174" s="387" t="s">
        <v>402</v>
      </c>
      <c r="C174" s="387"/>
      <c r="D174" s="387"/>
      <c r="E174" s="387"/>
      <c r="F174" s="387" t="s">
        <v>465</v>
      </c>
      <c r="G174" s="387"/>
      <c r="H174" s="387"/>
      <c r="I174" s="387" t="s">
        <v>466</v>
      </c>
      <c r="J174" s="387"/>
      <c r="K174" s="387"/>
      <c r="L174" s="387"/>
      <c r="M174" s="3" t="s">
        <v>241</v>
      </c>
      <c r="N174" s="447" t="s">
        <v>401</v>
      </c>
      <c r="O174" s="447"/>
      <c r="P174" s="447"/>
      <c r="Q174" s="447"/>
      <c r="R174" s="447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5" customHeight="1" x14ac:dyDescent="0.25">
      <c r="A175" s="4"/>
      <c r="B175" s="212" t="s">
        <v>467</v>
      </c>
      <c r="C175" s="10"/>
      <c r="D175" s="1"/>
      <c r="E175" s="4"/>
      <c r="F175" s="213"/>
      <c r="G175" s="213"/>
      <c r="H175" s="213"/>
      <c r="I175" s="294"/>
      <c r="J175" s="214"/>
      <c r="M175" s="213"/>
      <c r="N175" s="213"/>
      <c r="O175" s="213"/>
      <c r="P175" s="213"/>
      <c r="Q175" s="213"/>
      <c r="R175" s="215"/>
    </row>
    <row r="176" spans="1:34" ht="89.25" customHeight="1" x14ac:dyDescent="0.25">
      <c r="A176" s="4"/>
      <c r="B176" s="442" t="s">
        <v>468</v>
      </c>
      <c r="C176" s="443"/>
      <c r="D176" s="443"/>
      <c r="E176" s="444"/>
      <c r="F176" s="442" t="s">
        <v>469</v>
      </c>
      <c r="G176" s="443"/>
      <c r="H176" s="444"/>
      <c r="I176" s="436"/>
      <c r="J176" s="437"/>
      <c r="K176" s="437"/>
      <c r="L176" s="438"/>
      <c r="M176" s="216" t="str">
        <f>IF(ISBLANK(I176),"At Risk",VLOOKUP(I176,List!$M$1:$N$10,2,0))</f>
        <v>At Risk</v>
      </c>
      <c r="N176" s="439"/>
      <c r="O176" s="440"/>
      <c r="P176" s="440"/>
      <c r="Q176" s="440"/>
      <c r="R176" s="441"/>
    </row>
    <row r="177" spans="1:34" ht="65.25" customHeight="1" x14ac:dyDescent="0.25">
      <c r="A177" s="4"/>
      <c r="B177" s="442" t="s">
        <v>470</v>
      </c>
      <c r="C177" s="443"/>
      <c r="D177" s="443"/>
      <c r="E177" s="444"/>
      <c r="F177" s="442" t="s">
        <v>471</v>
      </c>
      <c r="G177" s="443"/>
      <c r="H177" s="444"/>
      <c r="I177" s="436"/>
      <c r="J177" s="437"/>
      <c r="K177" s="437"/>
      <c r="L177" s="438"/>
      <c r="M177" s="216" t="str">
        <f>IF(ISBLANK(I177),"At Risk",VLOOKUP(I177,List!$M$1:$N$10,2,0))</f>
        <v>At Risk</v>
      </c>
      <c r="N177" s="454"/>
      <c r="O177" s="455"/>
      <c r="P177" s="455"/>
      <c r="Q177" s="455"/>
      <c r="R177" s="456"/>
      <c r="AG177" s="5"/>
      <c r="AH177" s="5"/>
    </row>
    <row r="178" spans="1:34" ht="48" customHeight="1" x14ac:dyDescent="0.25">
      <c r="A178" s="4"/>
      <c r="B178" s="451" t="s">
        <v>472</v>
      </c>
      <c r="C178" s="452"/>
      <c r="D178" s="452"/>
      <c r="E178" s="453"/>
      <c r="F178" s="451" t="s">
        <v>473</v>
      </c>
      <c r="G178" s="452" t="s">
        <v>474</v>
      </c>
      <c r="H178" s="453"/>
      <c r="I178" s="436"/>
      <c r="J178" s="437"/>
      <c r="K178" s="437"/>
      <c r="L178" s="438"/>
      <c r="M178" s="216" t="str">
        <f>IF(ISBLANK(I178),"At Risk",VLOOKUP(I178,List!$M$1:$N$10,2,0))</f>
        <v>At Risk</v>
      </c>
      <c r="N178" s="439"/>
      <c r="O178" s="440"/>
      <c r="P178" s="440"/>
      <c r="Q178" s="440"/>
      <c r="R178" s="441"/>
      <c r="S178" s="5"/>
      <c r="T178" s="5"/>
      <c r="U178" s="5"/>
    </row>
    <row r="179" spans="1:34" ht="15" customHeight="1" x14ac:dyDescent="0.25">
      <c r="A179" s="4"/>
      <c r="B179" s="217" t="s">
        <v>475</v>
      </c>
      <c r="C179" s="142"/>
      <c r="D179" s="218"/>
      <c r="E179" s="4"/>
      <c r="F179" s="213"/>
      <c r="G179" s="213"/>
      <c r="H179" s="213"/>
      <c r="I179" s="295"/>
      <c r="J179" s="219"/>
      <c r="M179" s="216"/>
      <c r="N179" s="220"/>
      <c r="O179" s="220"/>
      <c r="P179" s="220"/>
      <c r="Q179" s="220"/>
      <c r="R179" s="221"/>
    </row>
    <row r="180" spans="1:34" ht="71.25" customHeight="1" x14ac:dyDescent="0.25">
      <c r="A180" s="4"/>
      <c r="B180" s="442" t="s">
        <v>476</v>
      </c>
      <c r="C180" s="443"/>
      <c r="D180" s="443"/>
      <c r="E180" s="444"/>
      <c r="F180" s="442" t="s">
        <v>477</v>
      </c>
      <c r="G180" s="443"/>
      <c r="H180" s="444"/>
      <c r="I180" s="436"/>
      <c r="J180" s="437"/>
      <c r="K180" s="437"/>
      <c r="L180" s="438"/>
      <c r="M180" s="216" t="str">
        <f>IF(ISBLANK(I180),"At Risk",VLOOKUP(I180,List!$M$1:$N$10,2,0))</f>
        <v>At Risk</v>
      </c>
      <c r="N180" s="439"/>
      <c r="O180" s="440"/>
      <c r="P180" s="440"/>
      <c r="Q180" s="440"/>
      <c r="R180" s="441"/>
      <c r="AG180" s="24"/>
      <c r="AH180" s="24"/>
    </row>
    <row r="181" spans="1:34" ht="86.25" customHeight="1" x14ac:dyDescent="0.25">
      <c r="A181" s="4"/>
      <c r="B181" s="451" t="s">
        <v>478</v>
      </c>
      <c r="C181" s="452"/>
      <c r="D181" s="452"/>
      <c r="E181" s="453"/>
      <c r="F181" s="451" t="s">
        <v>479</v>
      </c>
      <c r="G181" s="452"/>
      <c r="H181" s="453"/>
      <c r="I181" s="436"/>
      <c r="J181" s="437"/>
      <c r="K181" s="437"/>
      <c r="L181" s="438"/>
      <c r="M181" s="216" t="str">
        <f>IF(ISBLANK(I181),"At Risk",VLOOKUP(I181,List!$M$1:$N$10,2,0))</f>
        <v>At Risk</v>
      </c>
      <c r="N181" s="439"/>
      <c r="O181" s="440"/>
      <c r="P181" s="440"/>
      <c r="Q181" s="440"/>
      <c r="R181" s="441"/>
      <c r="S181" s="24"/>
      <c r="T181" s="24"/>
      <c r="U181" s="24"/>
    </row>
    <row r="182" spans="1:34" ht="15" customHeight="1" x14ac:dyDescent="0.25">
      <c r="A182" s="4"/>
      <c r="B182" s="217" t="s">
        <v>480</v>
      </c>
      <c r="C182" s="142"/>
      <c r="D182" s="218"/>
      <c r="E182" s="4"/>
      <c r="F182" s="213"/>
      <c r="H182" s="213"/>
      <c r="I182" s="295"/>
      <c r="J182" s="219"/>
      <c r="M182" s="216"/>
      <c r="N182" s="220"/>
      <c r="O182" s="220"/>
      <c r="P182" s="220"/>
      <c r="Q182" s="220"/>
      <c r="R182" s="221"/>
    </row>
    <row r="183" spans="1:34" ht="54" customHeight="1" x14ac:dyDescent="0.25">
      <c r="A183" s="4"/>
      <c r="B183" s="451" t="s">
        <v>481</v>
      </c>
      <c r="C183" s="452"/>
      <c r="D183" s="452"/>
      <c r="E183" s="453"/>
      <c r="F183" s="451" t="s">
        <v>482</v>
      </c>
      <c r="G183" s="452"/>
      <c r="H183" s="453"/>
      <c r="I183" s="436"/>
      <c r="J183" s="437"/>
      <c r="K183" s="437"/>
      <c r="L183" s="438"/>
      <c r="M183" s="216" t="str">
        <f>IF(ISBLANK(I183),"At Risk",VLOOKUP(I183,List!$M$1:$N$10,2,0))</f>
        <v>At Risk</v>
      </c>
      <c r="N183" s="439"/>
      <c r="O183" s="440"/>
      <c r="P183" s="440"/>
      <c r="Q183" s="440"/>
      <c r="R183" s="441"/>
    </row>
    <row r="184" spans="1:34" ht="15" customHeight="1" x14ac:dyDescent="0.25">
      <c r="A184" s="4"/>
      <c r="B184" s="217" t="s">
        <v>483</v>
      </c>
      <c r="C184" s="142"/>
      <c r="D184" s="218"/>
      <c r="E184" s="4"/>
      <c r="F184" s="213"/>
      <c r="H184" s="213"/>
      <c r="I184" s="295"/>
      <c r="J184" s="219"/>
      <c r="M184" s="216"/>
      <c r="N184" s="220"/>
      <c r="O184" s="220"/>
      <c r="P184" s="220"/>
      <c r="Q184" s="220"/>
      <c r="R184" s="221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4" ht="85.5" customHeight="1" x14ac:dyDescent="0.25">
      <c r="A185" s="4"/>
      <c r="B185" s="451" t="s">
        <v>484</v>
      </c>
      <c r="C185" s="452"/>
      <c r="D185" s="452"/>
      <c r="E185" s="453"/>
      <c r="F185" s="451" t="s">
        <v>485</v>
      </c>
      <c r="G185" s="452"/>
      <c r="H185" s="453"/>
      <c r="I185" s="436"/>
      <c r="J185" s="437"/>
      <c r="K185" s="437"/>
      <c r="L185" s="438"/>
      <c r="M185" s="216" t="str">
        <f>IF(ISBLANK(I185),"At Risk",VLOOKUP(I185,List!$M$1:$N$10,2,0))</f>
        <v>At Risk</v>
      </c>
      <c r="N185" s="439"/>
      <c r="O185" s="440"/>
      <c r="P185" s="440"/>
      <c r="Q185" s="440"/>
      <c r="R185" s="441"/>
    </row>
    <row r="186" spans="1:34" ht="15" customHeight="1" x14ac:dyDescent="0.25">
      <c r="A186" s="4"/>
      <c r="B186" s="217" t="s">
        <v>486</v>
      </c>
      <c r="C186" s="142"/>
      <c r="D186" s="218"/>
      <c r="E186" s="4"/>
      <c r="F186" s="213"/>
      <c r="H186" s="213"/>
      <c r="I186" s="295"/>
      <c r="J186" s="219"/>
      <c r="M186" s="216"/>
      <c r="N186" s="220"/>
      <c r="O186" s="220"/>
      <c r="P186" s="220"/>
      <c r="Q186" s="220"/>
      <c r="R186" s="221"/>
    </row>
    <row r="187" spans="1:34" ht="59.4" customHeight="1" x14ac:dyDescent="0.25">
      <c r="A187" s="4"/>
      <c r="B187" s="442" t="s">
        <v>487</v>
      </c>
      <c r="C187" s="443"/>
      <c r="D187" s="443"/>
      <c r="E187" s="444"/>
      <c r="F187" s="442" t="s">
        <v>488</v>
      </c>
      <c r="G187" s="443"/>
      <c r="H187" s="444"/>
      <c r="I187" s="436"/>
      <c r="J187" s="437"/>
      <c r="K187" s="437"/>
      <c r="L187" s="438"/>
      <c r="M187" s="216" t="str">
        <f>IF(ISBLANK(I187),"At Risk",VLOOKUP(I187,List!$M$1:$N$10,2,0))</f>
        <v>At Risk</v>
      </c>
      <c r="N187" s="439"/>
      <c r="O187" s="440"/>
      <c r="P187" s="440"/>
      <c r="Q187" s="440"/>
      <c r="R187" s="441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</row>
    <row r="188" spans="1:34" ht="15" customHeight="1" x14ac:dyDescent="0.25">
      <c r="A188" s="4"/>
      <c r="B188" s="448" t="s">
        <v>416</v>
      </c>
      <c r="C188" s="449"/>
      <c r="D188" s="449"/>
      <c r="E188" s="449"/>
      <c r="F188" s="449"/>
      <c r="G188" s="449"/>
      <c r="H188" s="449"/>
      <c r="I188" s="449"/>
      <c r="J188" s="449"/>
      <c r="K188" s="449"/>
      <c r="L188" s="450"/>
      <c r="M188" s="222" t="str">
        <f>IF(COUNTIF(M176:M187,"On Track")=8,"On Track",IF(COUNTIF(M176:M187,"At Risk")&gt;0,"At Risk","For Attention"))</f>
        <v>At Risk</v>
      </c>
      <c r="N188" s="223"/>
      <c r="O188" s="223"/>
      <c r="P188" s="223"/>
      <c r="Q188" s="223"/>
      <c r="R188" s="224"/>
    </row>
    <row r="189" spans="1:34" x14ac:dyDescent="0.25">
      <c r="A189" s="301" t="s">
        <v>490</v>
      </c>
      <c r="B189" s="118"/>
      <c r="C189" s="118"/>
      <c r="D189" s="118"/>
      <c r="E189" s="79"/>
      <c r="F189" s="119"/>
      <c r="G189" s="119"/>
      <c r="H189" s="179"/>
      <c r="I189" s="179"/>
      <c r="J189" s="291"/>
      <c r="K189" s="291"/>
      <c r="L189" s="291"/>
      <c r="M189" s="278"/>
      <c r="N189" s="278"/>
      <c r="O189" s="272"/>
      <c r="P189" s="272"/>
      <c r="Q189" s="272"/>
      <c r="R189" s="272"/>
      <c r="S189" s="273"/>
      <c r="T189" s="40"/>
      <c r="U189" s="40"/>
    </row>
    <row r="190" spans="1:34" ht="15" customHeight="1" x14ac:dyDescent="0.25">
      <c r="A190" s="301" t="s">
        <v>490</v>
      </c>
      <c r="B190" s="10" t="s">
        <v>495</v>
      </c>
      <c r="E190" s="4"/>
      <c r="K190" s="19"/>
    </row>
    <row r="191" spans="1:34" ht="15" customHeight="1" x14ac:dyDescent="0.25">
      <c r="A191" s="301" t="s">
        <v>490</v>
      </c>
      <c r="B191" s="343" t="s">
        <v>99</v>
      </c>
      <c r="C191" s="344"/>
      <c r="D191" s="343" t="s">
        <v>127</v>
      </c>
      <c r="E191" s="344"/>
      <c r="F191" s="344"/>
      <c r="G191" s="343" t="s">
        <v>117</v>
      </c>
      <c r="H191" s="344"/>
      <c r="I191" s="344"/>
      <c r="K191" s="19"/>
    </row>
    <row r="192" spans="1:34" ht="15" customHeight="1" x14ac:dyDescent="0.25">
      <c r="A192" s="4"/>
      <c r="B192" s="392"/>
      <c r="C192" s="392"/>
      <c r="D192" s="341"/>
      <c r="E192" s="341"/>
      <c r="F192" s="341"/>
      <c r="G192" s="337"/>
      <c r="H192" s="337"/>
      <c r="I192" s="337"/>
      <c r="K192" s="19"/>
    </row>
    <row r="193" spans="1:11" s="87" customFormat="1" ht="15" customHeight="1" x14ac:dyDescent="0.25">
      <c r="B193" s="393"/>
      <c r="C193" s="393"/>
      <c r="D193" s="341"/>
      <c r="E193" s="341"/>
      <c r="F193" s="341"/>
      <c r="G193" s="337"/>
      <c r="H193" s="337"/>
      <c r="I193" s="337"/>
      <c r="K193" s="88"/>
    </row>
    <row r="194" spans="1:11" ht="15" customHeight="1" x14ac:dyDescent="0.25">
      <c r="A194" s="4"/>
      <c r="B194" s="392"/>
      <c r="C194" s="392"/>
      <c r="D194" s="341"/>
      <c r="E194" s="341"/>
      <c r="F194" s="341"/>
      <c r="G194" s="337"/>
      <c r="H194" s="337"/>
      <c r="I194" s="337"/>
      <c r="K194" s="19"/>
    </row>
    <row r="195" spans="1:11" ht="15" customHeight="1" x14ac:dyDescent="0.25">
      <c r="A195" s="4"/>
      <c r="B195" s="364"/>
      <c r="C195" s="364"/>
      <c r="D195" s="341"/>
      <c r="E195" s="341"/>
      <c r="F195" s="341"/>
      <c r="G195" s="337"/>
      <c r="H195" s="337"/>
      <c r="I195" s="337"/>
      <c r="K195" s="19"/>
    </row>
    <row r="196" spans="1:11" ht="15" customHeight="1" x14ac:dyDescent="0.25">
      <c r="A196" s="301" t="s">
        <v>490</v>
      </c>
      <c r="E196" s="4"/>
      <c r="K196" s="19"/>
    </row>
    <row r="197" spans="1:11" ht="15" customHeight="1" x14ac:dyDescent="0.25">
      <c r="A197" s="301" t="s">
        <v>490</v>
      </c>
      <c r="B197" s="81" t="s">
        <v>496</v>
      </c>
      <c r="E197" s="4"/>
      <c r="F197" s="89"/>
      <c r="K197" s="19"/>
    </row>
    <row r="198" spans="1:11" ht="15" customHeight="1" x14ac:dyDescent="0.25">
      <c r="A198" s="301" t="s">
        <v>490</v>
      </c>
      <c r="B198" s="90" t="s">
        <v>128</v>
      </c>
      <c r="C198" s="90" t="s">
        <v>129</v>
      </c>
      <c r="D198" s="90" t="s">
        <v>130</v>
      </c>
      <c r="E198" s="90" t="s">
        <v>131</v>
      </c>
      <c r="F198" s="354" t="s">
        <v>117</v>
      </c>
      <c r="G198" s="394"/>
      <c r="H198" s="394"/>
      <c r="I198" s="394"/>
      <c r="K198" s="19"/>
    </row>
    <row r="199" spans="1:11" ht="15" customHeight="1" x14ac:dyDescent="0.25">
      <c r="A199" s="4"/>
      <c r="B199" s="43"/>
      <c r="C199" s="43"/>
      <c r="D199" s="43"/>
      <c r="E199" s="43"/>
      <c r="F199" s="362"/>
      <c r="G199" s="363"/>
      <c r="H199" s="363"/>
      <c r="I199" s="363"/>
      <c r="K199" s="19"/>
    </row>
    <row r="200" spans="1:11" ht="15" customHeight="1" x14ac:dyDescent="0.25">
      <c r="A200" s="301" t="s">
        <v>490</v>
      </c>
      <c r="E200" s="4"/>
      <c r="K200" s="19"/>
    </row>
    <row r="201" spans="1:11" ht="15" customHeight="1" x14ac:dyDescent="0.25">
      <c r="A201" s="301" t="s">
        <v>490</v>
      </c>
      <c r="B201" s="10" t="s">
        <v>497</v>
      </c>
      <c r="E201" s="4"/>
      <c r="F201" s="89"/>
      <c r="K201" s="19"/>
    </row>
    <row r="202" spans="1:11" s="81" customFormat="1" ht="15" customHeight="1" x14ac:dyDescent="0.25">
      <c r="A202" s="301" t="s">
        <v>490</v>
      </c>
      <c r="B202" s="343" t="s">
        <v>132</v>
      </c>
      <c r="C202" s="344"/>
      <c r="D202" s="343" t="s">
        <v>133</v>
      </c>
      <c r="E202" s="344"/>
      <c r="F202" s="344"/>
      <c r="G202" s="343" t="s">
        <v>99</v>
      </c>
      <c r="H202" s="344"/>
      <c r="I202" s="344"/>
      <c r="K202" s="19"/>
    </row>
    <row r="203" spans="1:11" ht="15" customHeight="1" x14ac:dyDescent="0.25">
      <c r="A203" s="4"/>
      <c r="B203" s="341"/>
      <c r="C203" s="339"/>
      <c r="D203" s="341"/>
      <c r="E203" s="339"/>
      <c r="F203" s="339"/>
      <c r="G203" s="364"/>
      <c r="H203" s="339"/>
      <c r="I203" s="339"/>
      <c r="K203" s="19"/>
    </row>
    <row r="204" spans="1:11" s="87" customFormat="1" ht="15" customHeight="1" x14ac:dyDescent="0.25">
      <c r="B204" s="381"/>
      <c r="C204" s="366"/>
      <c r="D204" s="381"/>
      <c r="E204" s="366"/>
      <c r="F204" s="366"/>
      <c r="G204" s="365"/>
      <c r="H204" s="366"/>
      <c r="I204" s="366"/>
      <c r="K204" s="88"/>
    </row>
    <row r="205" spans="1:11" s="87" customFormat="1" ht="15" customHeight="1" x14ac:dyDescent="0.25">
      <c r="B205" s="381"/>
      <c r="C205" s="366"/>
      <c r="D205" s="381"/>
      <c r="E205" s="366"/>
      <c r="F205" s="366"/>
      <c r="G205" s="365"/>
      <c r="H205" s="366"/>
      <c r="I205" s="366"/>
      <c r="K205" s="88"/>
    </row>
    <row r="206" spans="1:11" ht="15" customHeight="1" x14ac:dyDescent="0.25">
      <c r="A206" s="4"/>
      <c r="B206" s="341"/>
      <c r="C206" s="339"/>
      <c r="D206" s="341"/>
      <c r="E206" s="339"/>
      <c r="F206" s="339"/>
      <c r="G206" s="364"/>
      <c r="H206" s="339"/>
      <c r="I206" s="339"/>
      <c r="K206" s="19"/>
    </row>
    <row r="207" spans="1:11" ht="15" customHeight="1" x14ac:dyDescent="0.25">
      <c r="A207" s="301" t="s">
        <v>490</v>
      </c>
      <c r="E207" s="4"/>
      <c r="K207" s="19"/>
    </row>
    <row r="208" spans="1:11" ht="15" customHeight="1" x14ac:dyDescent="0.25">
      <c r="A208" s="301" t="s">
        <v>490</v>
      </c>
      <c r="B208" s="10" t="s">
        <v>199</v>
      </c>
      <c r="E208" s="87"/>
      <c r="F208" s="89"/>
      <c r="K208" s="19"/>
    </row>
    <row r="209" spans="1:11" ht="15" customHeight="1" x14ac:dyDescent="0.25">
      <c r="A209" s="301" t="s">
        <v>490</v>
      </c>
      <c r="B209" s="343" t="s">
        <v>132</v>
      </c>
      <c r="C209" s="344"/>
      <c r="D209" s="343" t="s">
        <v>133</v>
      </c>
      <c r="E209" s="344"/>
      <c r="F209" s="344"/>
      <c r="G209" s="343" t="s">
        <v>99</v>
      </c>
      <c r="H209" s="344"/>
      <c r="I209" s="344"/>
      <c r="K209" s="19"/>
    </row>
    <row r="210" spans="1:11" ht="15" customHeight="1" x14ac:dyDescent="0.25">
      <c r="A210" s="4"/>
      <c r="B210" s="341"/>
      <c r="C210" s="339"/>
      <c r="D210" s="341"/>
      <c r="E210" s="339"/>
      <c r="F210" s="339"/>
      <c r="G210" s="364"/>
      <c r="H210" s="339"/>
      <c r="I210" s="339"/>
      <c r="K210" s="19"/>
    </row>
    <row r="211" spans="1:11" ht="15" customHeight="1" x14ac:dyDescent="0.25">
      <c r="A211" s="4"/>
      <c r="B211" s="341"/>
      <c r="C211" s="339"/>
      <c r="D211" s="341"/>
      <c r="E211" s="339"/>
      <c r="F211" s="339"/>
      <c r="G211" s="364"/>
      <c r="H211" s="339"/>
      <c r="I211" s="339"/>
      <c r="K211" s="19"/>
    </row>
    <row r="212" spans="1:11" ht="15" customHeight="1" x14ac:dyDescent="0.25">
      <c r="A212" s="4"/>
      <c r="B212" s="341"/>
      <c r="C212" s="339"/>
      <c r="D212" s="341"/>
      <c r="E212" s="339"/>
      <c r="F212" s="339"/>
      <c r="G212" s="364"/>
      <c r="H212" s="339"/>
      <c r="I212" s="339"/>
      <c r="K212" s="19"/>
    </row>
    <row r="213" spans="1:11" ht="15" customHeight="1" x14ac:dyDescent="0.25">
      <c r="A213" s="4"/>
      <c r="B213" s="341"/>
      <c r="C213" s="339"/>
      <c r="D213" s="341"/>
      <c r="E213" s="339"/>
      <c r="F213" s="339"/>
      <c r="G213" s="364"/>
      <c r="H213" s="339"/>
      <c r="I213" s="339"/>
      <c r="K213" s="19"/>
    </row>
    <row r="214" spans="1:11" x14ac:dyDescent="0.25">
      <c r="A214" s="4"/>
      <c r="E214" s="4"/>
      <c r="K214" s="19"/>
    </row>
    <row r="215" spans="1:11" x14ac:dyDescent="0.25">
      <c r="A215" s="4"/>
      <c r="E215" s="4"/>
      <c r="K215" s="19"/>
    </row>
    <row r="216" spans="1:11" x14ac:dyDescent="0.25">
      <c r="A216" s="4"/>
      <c r="E216" s="4"/>
      <c r="K216" s="19"/>
    </row>
    <row r="217" spans="1:11" x14ac:dyDescent="0.25">
      <c r="A217" s="4"/>
      <c r="E217" s="4"/>
      <c r="K217" s="19"/>
    </row>
    <row r="218" spans="1:11" x14ac:dyDescent="0.25">
      <c r="A218" s="4"/>
      <c r="E218" s="4"/>
      <c r="K218" s="19"/>
    </row>
    <row r="219" spans="1:11" x14ac:dyDescent="0.25">
      <c r="A219" s="4"/>
      <c r="E219" s="4"/>
      <c r="K219" s="19"/>
    </row>
    <row r="220" spans="1:11" x14ac:dyDescent="0.25">
      <c r="A220" s="4"/>
      <c r="E220" s="4"/>
      <c r="K220" s="19"/>
    </row>
    <row r="221" spans="1:11" x14ac:dyDescent="0.25">
      <c r="A221" s="4"/>
      <c r="E221" s="4"/>
      <c r="K221" s="19"/>
    </row>
    <row r="222" spans="1:11" x14ac:dyDescent="0.25">
      <c r="A222" s="4"/>
      <c r="E222" s="4"/>
      <c r="K222" s="19"/>
    </row>
    <row r="223" spans="1:11" x14ac:dyDescent="0.25">
      <c r="A223" s="4"/>
      <c r="E223" s="4"/>
      <c r="K223" s="19"/>
    </row>
    <row r="224" spans="1:11" x14ac:dyDescent="0.25">
      <c r="A224" s="4"/>
      <c r="E224" s="4"/>
      <c r="K224" s="19"/>
    </row>
    <row r="225" spans="1:11" x14ac:dyDescent="0.25">
      <c r="A225" s="4"/>
      <c r="E225" s="4"/>
      <c r="K225" s="19"/>
    </row>
    <row r="226" spans="1:11" x14ac:dyDescent="0.25">
      <c r="A226" s="4"/>
      <c r="E226" s="4"/>
      <c r="K226" s="19"/>
    </row>
    <row r="227" spans="1:11" x14ac:dyDescent="0.25">
      <c r="A227" s="4"/>
      <c r="E227" s="4"/>
      <c r="K227" s="19"/>
    </row>
    <row r="228" spans="1:11" x14ac:dyDescent="0.25">
      <c r="A228" s="4"/>
      <c r="E228" s="4"/>
      <c r="K228" s="19"/>
    </row>
    <row r="229" spans="1:11" x14ac:dyDescent="0.25">
      <c r="A229" s="4"/>
      <c r="E229" s="4"/>
      <c r="K229" s="19"/>
    </row>
    <row r="230" spans="1:11" x14ac:dyDescent="0.25">
      <c r="A230" s="4"/>
      <c r="E230" s="4"/>
      <c r="K230" s="19"/>
    </row>
    <row r="231" spans="1:11" x14ac:dyDescent="0.25">
      <c r="A231" s="4"/>
      <c r="E231" s="4"/>
      <c r="K231" s="19"/>
    </row>
    <row r="232" spans="1:11" x14ac:dyDescent="0.25">
      <c r="A232" s="4"/>
      <c r="E232" s="4"/>
      <c r="K232" s="19"/>
    </row>
    <row r="233" spans="1:11" x14ac:dyDescent="0.25">
      <c r="A233" s="4"/>
      <c r="E233" s="4"/>
      <c r="K233" s="19"/>
    </row>
    <row r="234" spans="1:11" x14ac:dyDescent="0.25">
      <c r="A234" s="4"/>
      <c r="E234" s="4"/>
      <c r="K234" s="19"/>
    </row>
    <row r="235" spans="1:11" x14ac:dyDescent="0.25">
      <c r="A235" s="4"/>
      <c r="E235" s="4"/>
      <c r="K235" s="19"/>
    </row>
    <row r="236" spans="1:11" x14ac:dyDescent="0.25">
      <c r="A236" s="4"/>
      <c r="E236" s="4"/>
      <c r="K236" s="19"/>
    </row>
    <row r="237" spans="1:11" x14ac:dyDescent="0.25">
      <c r="A237" s="4"/>
      <c r="E237" s="4"/>
      <c r="K237" s="19"/>
    </row>
    <row r="238" spans="1:11" x14ac:dyDescent="0.25">
      <c r="A238" s="4"/>
      <c r="E238" s="4"/>
      <c r="K238" s="19"/>
    </row>
    <row r="239" spans="1:11" x14ac:dyDescent="0.25">
      <c r="A239" s="4"/>
      <c r="E239" s="4"/>
      <c r="K239" s="19"/>
    </row>
    <row r="240" spans="1:11" x14ac:dyDescent="0.25">
      <c r="A240" s="4"/>
      <c r="E240" s="4"/>
      <c r="K240" s="19"/>
    </row>
    <row r="241" spans="1:11" x14ac:dyDescent="0.25">
      <c r="A241" s="4"/>
      <c r="E241" s="4"/>
      <c r="K241" s="19"/>
    </row>
    <row r="242" spans="1:11" x14ac:dyDescent="0.25">
      <c r="A242" s="4"/>
      <c r="E242" s="4"/>
      <c r="K242" s="19"/>
    </row>
    <row r="243" spans="1:11" x14ac:dyDescent="0.25">
      <c r="A243" s="4"/>
      <c r="E243" s="4"/>
      <c r="K243" s="19"/>
    </row>
    <row r="244" spans="1:11" x14ac:dyDescent="0.25">
      <c r="A244" s="4"/>
      <c r="E244" s="4"/>
      <c r="K244" s="19"/>
    </row>
    <row r="245" spans="1:11" x14ac:dyDescent="0.25">
      <c r="A245" s="4"/>
      <c r="E245" s="4"/>
      <c r="K245" s="19"/>
    </row>
    <row r="246" spans="1:11" x14ac:dyDescent="0.25">
      <c r="A246" s="4"/>
      <c r="K246" s="19"/>
    </row>
    <row r="247" spans="1:11" x14ac:dyDescent="0.25">
      <c r="A247" s="4"/>
      <c r="K247" s="19"/>
    </row>
    <row r="248" spans="1:11" x14ac:dyDescent="0.25">
      <c r="A248" s="4"/>
      <c r="K248" s="19"/>
    </row>
    <row r="249" spans="1:11" x14ac:dyDescent="0.25">
      <c r="A249" s="4"/>
      <c r="K249" s="19"/>
    </row>
    <row r="250" spans="1:11" x14ac:dyDescent="0.25">
      <c r="A250" s="4"/>
      <c r="K250" s="19"/>
    </row>
    <row r="251" spans="1:11" x14ac:dyDescent="0.25">
      <c r="A251" s="4"/>
      <c r="K251" s="19"/>
    </row>
    <row r="252" spans="1:11" x14ac:dyDescent="0.25">
      <c r="A252" s="4"/>
      <c r="K252" s="19"/>
    </row>
    <row r="253" spans="1:11" x14ac:dyDescent="0.25">
      <c r="A253" s="4"/>
      <c r="K253" s="19"/>
    </row>
    <row r="254" spans="1:11" x14ac:dyDescent="0.25">
      <c r="A254" s="4"/>
      <c r="K254" s="19"/>
    </row>
    <row r="255" spans="1:11" x14ac:dyDescent="0.25">
      <c r="A255" s="4"/>
      <c r="K255" s="19"/>
    </row>
    <row r="256" spans="1:11" x14ac:dyDescent="0.25">
      <c r="A256" s="4"/>
      <c r="K256" s="19"/>
    </row>
    <row r="257" spans="1:11" x14ac:dyDescent="0.25">
      <c r="A257" s="4"/>
      <c r="K257" s="19"/>
    </row>
    <row r="258" spans="1:11" x14ac:dyDescent="0.25">
      <c r="A258" s="4"/>
      <c r="K258" s="19"/>
    </row>
    <row r="259" spans="1:11" x14ac:dyDescent="0.25">
      <c r="A259" s="4"/>
      <c r="K259" s="19"/>
    </row>
    <row r="260" spans="1:11" x14ac:dyDescent="0.25">
      <c r="A260" s="4"/>
      <c r="K260" s="19"/>
    </row>
    <row r="261" spans="1:11" x14ac:dyDescent="0.25">
      <c r="A261" s="4"/>
      <c r="K261" s="19"/>
    </row>
    <row r="262" spans="1:11" x14ac:dyDescent="0.25">
      <c r="A262" s="4"/>
      <c r="K262" s="19"/>
    </row>
    <row r="263" spans="1:11" x14ac:dyDescent="0.25">
      <c r="A263" s="4"/>
      <c r="K263" s="19"/>
    </row>
    <row r="264" spans="1:11" x14ac:dyDescent="0.25">
      <c r="A264" s="4"/>
      <c r="K264" s="19"/>
    </row>
    <row r="265" spans="1:11" x14ac:dyDescent="0.25">
      <c r="A265" s="4"/>
      <c r="K265" s="19"/>
    </row>
    <row r="266" spans="1:11" x14ac:dyDescent="0.25">
      <c r="A266" s="4"/>
      <c r="K266" s="19"/>
    </row>
    <row r="267" spans="1:11" x14ac:dyDescent="0.25">
      <c r="A267" s="4"/>
      <c r="K267" s="19"/>
    </row>
    <row r="268" spans="1:11" x14ac:dyDescent="0.25">
      <c r="A268" s="4"/>
      <c r="K268" s="19"/>
    </row>
    <row r="269" spans="1:11" x14ac:dyDescent="0.25">
      <c r="A269" s="4"/>
      <c r="K269" s="19"/>
    </row>
    <row r="270" spans="1:11" x14ac:dyDescent="0.25">
      <c r="A270" s="4"/>
      <c r="K270" s="19"/>
    </row>
    <row r="271" spans="1:11" x14ac:dyDescent="0.25">
      <c r="A271" s="4"/>
      <c r="K271" s="19"/>
    </row>
    <row r="272" spans="1:11" x14ac:dyDescent="0.25">
      <c r="A272" s="4"/>
      <c r="K272" s="19"/>
    </row>
    <row r="273" spans="1:11" x14ac:dyDescent="0.25">
      <c r="A273" s="4"/>
      <c r="K273" s="19"/>
    </row>
    <row r="274" spans="1:11" x14ac:dyDescent="0.25">
      <c r="A274" s="4"/>
      <c r="K274" s="19"/>
    </row>
    <row r="275" spans="1:11" x14ac:dyDescent="0.25">
      <c r="A275" s="4"/>
      <c r="K275" s="19"/>
    </row>
    <row r="276" spans="1:11" x14ac:dyDescent="0.25">
      <c r="A276" s="4"/>
      <c r="K276" s="19"/>
    </row>
    <row r="277" spans="1:11" x14ac:dyDescent="0.25">
      <c r="A277" s="4"/>
      <c r="K277" s="19"/>
    </row>
    <row r="278" spans="1:11" x14ac:dyDescent="0.25">
      <c r="A278" s="4"/>
      <c r="K278" s="19"/>
    </row>
    <row r="279" spans="1:11" x14ac:dyDescent="0.25">
      <c r="A279" s="4"/>
      <c r="K279" s="19"/>
    </row>
    <row r="280" spans="1:11" x14ac:dyDescent="0.25">
      <c r="A280" s="4"/>
      <c r="K280" s="19"/>
    </row>
    <row r="281" spans="1:11" x14ac:dyDescent="0.25">
      <c r="A281" s="4"/>
      <c r="K281" s="19"/>
    </row>
    <row r="282" spans="1:11" x14ac:dyDescent="0.25">
      <c r="A282" s="4"/>
      <c r="K282" s="19"/>
    </row>
    <row r="283" spans="1:11" x14ac:dyDescent="0.25">
      <c r="A283" s="4"/>
      <c r="K283" s="19"/>
    </row>
    <row r="284" spans="1:11" x14ac:dyDescent="0.25">
      <c r="A284" s="4"/>
      <c r="K284" s="19"/>
    </row>
    <row r="285" spans="1:11" x14ac:dyDescent="0.25">
      <c r="A285" s="4"/>
      <c r="K285" s="19"/>
    </row>
    <row r="286" spans="1:11" x14ac:dyDescent="0.25">
      <c r="A286" s="4"/>
      <c r="K286" s="19"/>
    </row>
    <row r="287" spans="1:11" x14ac:dyDescent="0.25">
      <c r="A287" s="4"/>
      <c r="K287" s="19"/>
    </row>
    <row r="288" spans="1:11" x14ac:dyDescent="0.25">
      <c r="A288" s="4"/>
      <c r="K288" s="19"/>
    </row>
    <row r="289" spans="1:11" x14ac:dyDescent="0.25">
      <c r="A289" s="4"/>
      <c r="K289" s="19"/>
    </row>
    <row r="290" spans="1:11" x14ac:dyDescent="0.25">
      <c r="A290" s="4"/>
      <c r="K290" s="19"/>
    </row>
    <row r="291" spans="1:11" x14ac:dyDescent="0.25">
      <c r="A291" s="4"/>
      <c r="K291" s="19"/>
    </row>
    <row r="292" spans="1:11" x14ac:dyDescent="0.25">
      <c r="A292" s="4"/>
    </row>
    <row r="293" spans="1:11" x14ac:dyDescent="0.25">
      <c r="A293" s="4"/>
    </row>
    <row r="294" spans="1:11" x14ac:dyDescent="0.25">
      <c r="A294" s="4"/>
    </row>
    <row r="295" spans="1:11" x14ac:dyDescent="0.25">
      <c r="A295" s="4"/>
    </row>
    <row r="296" spans="1:11" x14ac:dyDescent="0.25">
      <c r="A296" s="4"/>
    </row>
    <row r="297" spans="1:11" x14ac:dyDescent="0.25">
      <c r="A297" s="4"/>
    </row>
    <row r="298" spans="1:11" x14ac:dyDescent="0.25">
      <c r="A298" s="4"/>
    </row>
    <row r="299" spans="1:11" x14ac:dyDescent="0.25">
      <c r="A299" s="4"/>
    </row>
    <row r="300" spans="1:11" x14ac:dyDescent="0.25">
      <c r="A300" s="4"/>
    </row>
    <row r="301" spans="1:11" x14ac:dyDescent="0.25">
      <c r="A301" s="4"/>
    </row>
    <row r="302" spans="1:11" x14ac:dyDescent="0.25">
      <c r="A302" s="4"/>
    </row>
    <row r="303" spans="1:11" x14ac:dyDescent="0.25">
      <c r="A303" s="4"/>
    </row>
    <row r="304" spans="1:1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  <row r="310" spans="1:1" x14ac:dyDescent="0.25">
      <c r="A310" s="4"/>
    </row>
    <row r="311" spans="1:1" x14ac:dyDescent="0.25">
      <c r="A311" s="4"/>
    </row>
    <row r="312" spans="1:1" x14ac:dyDescent="0.25">
      <c r="A312" s="4"/>
    </row>
    <row r="313" spans="1:1" x14ac:dyDescent="0.25">
      <c r="A313" s="4"/>
    </row>
    <row r="314" spans="1:1" x14ac:dyDescent="0.25">
      <c r="A314" s="4"/>
    </row>
    <row r="315" spans="1:1" x14ac:dyDescent="0.25">
      <c r="A315" s="4"/>
    </row>
    <row r="316" spans="1:1" x14ac:dyDescent="0.25">
      <c r="A316" s="4"/>
    </row>
    <row r="317" spans="1:1" x14ac:dyDescent="0.25">
      <c r="A317" s="4"/>
    </row>
    <row r="318" spans="1:1" x14ac:dyDescent="0.25">
      <c r="A318" s="4"/>
    </row>
    <row r="319" spans="1:1" x14ac:dyDescent="0.25">
      <c r="A319" s="4"/>
    </row>
    <row r="320" spans="1:1" x14ac:dyDescent="0.25">
      <c r="A320" s="4"/>
    </row>
    <row r="321" spans="1:1" x14ac:dyDescent="0.25">
      <c r="A321" s="4"/>
    </row>
    <row r="322" spans="1:1" x14ac:dyDescent="0.25">
      <c r="A322" s="4"/>
    </row>
    <row r="323" spans="1:1" x14ac:dyDescent="0.25">
      <c r="A323" s="4"/>
    </row>
    <row r="324" spans="1:1" x14ac:dyDescent="0.25">
      <c r="A324" s="4"/>
    </row>
    <row r="325" spans="1:1" x14ac:dyDescent="0.25">
      <c r="A325" s="4"/>
    </row>
    <row r="326" spans="1:1" x14ac:dyDescent="0.25">
      <c r="A326" s="4"/>
    </row>
    <row r="327" spans="1:1" x14ac:dyDescent="0.25">
      <c r="A327" s="4"/>
    </row>
    <row r="328" spans="1:1" x14ac:dyDescent="0.25">
      <c r="A328" s="4"/>
    </row>
    <row r="329" spans="1:1" x14ac:dyDescent="0.25">
      <c r="A329" s="4"/>
    </row>
    <row r="330" spans="1:1" x14ac:dyDescent="0.25">
      <c r="A330" s="4"/>
    </row>
    <row r="331" spans="1:1" x14ac:dyDescent="0.25">
      <c r="A331" s="4"/>
    </row>
    <row r="332" spans="1:1" x14ac:dyDescent="0.25">
      <c r="A332" s="4"/>
    </row>
    <row r="333" spans="1:1" x14ac:dyDescent="0.25">
      <c r="A333" s="4"/>
    </row>
    <row r="334" spans="1:1" x14ac:dyDescent="0.25">
      <c r="A334" s="4"/>
    </row>
    <row r="335" spans="1:1" x14ac:dyDescent="0.25">
      <c r="A335" s="4"/>
    </row>
    <row r="336" spans="1:1" x14ac:dyDescent="0.25">
      <c r="A336" s="4"/>
    </row>
    <row r="337" spans="1:1" x14ac:dyDescent="0.25">
      <c r="A337" s="4"/>
    </row>
    <row r="338" spans="1:1" x14ac:dyDescent="0.25">
      <c r="A338" s="4"/>
    </row>
    <row r="339" spans="1:1" x14ac:dyDescent="0.25">
      <c r="A339" s="4"/>
    </row>
    <row r="340" spans="1:1" x14ac:dyDescent="0.25">
      <c r="A340" s="4"/>
    </row>
    <row r="341" spans="1:1" x14ac:dyDescent="0.25">
      <c r="A341" s="4"/>
    </row>
    <row r="342" spans="1:1" x14ac:dyDescent="0.25">
      <c r="A342" s="4"/>
    </row>
    <row r="343" spans="1:1" x14ac:dyDescent="0.25">
      <c r="A343" s="4"/>
    </row>
    <row r="344" spans="1:1" x14ac:dyDescent="0.25">
      <c r="A344" s="4"/>
    </row>
    <row r="345" spans="1:1" x14ac:dyDescent="0.25">
      <c r="A345" s="4"/>
    </row>
    <row r="346" spans="1:1" x14ac:dyDescent="0.25">
      <c r="A346" s="4"/>
    </row>
    <row r="347" spans="1:1" x14ac:dyDescent="0.25">
      <c r="A347" s="4"/>
    </row>
    <row r="348" spans="1:1" x14ac:dyDescent="0.25">
      <c r="A348" s="4"/>
    </row>
    <row r="349" spans="1:1" x14ac:dyDescent="0.25">
      <c r="A349" s="4"/>
    </row>
    <row r="350" spans="1:1" x14ac:dyDescent="0.25">
      <c r="A350" s="4"/>
    </row>
    <row r="351" spans="1:1" x14ac:dyDescent="0.25">
      <c r="A351" s="4"/>
    </row>
    <row r="352" spans="1:1" x14ac:dyDescent="0.25">
      <c r="A352" s="4"/>
    </row>
    <row r="353" spans="1:1" x14ac:dyDescent="0.25">
      <c r="A353" s="4"/>
    </row>
    <row r="354" spans="1:1" x14ac:dyDescent="0.25">
      <c r="A354" s="4"/>
    </row>
    <row r="355" spans="1:1" x14ac:dyDescent="0.25">
      <c r="A355" s="4"/>
    </row>
    <row r="356" spans="1:1" x14ac:dyDescent="0.25">
      <c r="A356" s="4"/>
    </row>
    <row r="357" spans="1:1" x14ac:dyDescent="0.25">
      <c r="A357" s="4"/>
    </row>
    <row r="358" spans="1:1" x14ac:dyDescent="0.25">
      <c r="A358" s="4"/>
    </row>
    <row r="359" spans="1:1" x14ac:dyDescent="0.25">
      <c r="A359" s="4"/>
    </row>
    <row r="360" spans="1:1" x14ac:dyDescent="0.25">
      <c r="A360" s="4"/>
    </row>
    <row r="361" spans="1:1" x14ac:dyDescent="0.25">
      <c r="A361" s="4"/>
    </row>
    <row r="362" spans="1:1" x14ac:dyDescent="0.25">
      <c r="A362" s="4"/>
    </row>
    <row r="363" spans="1:1" x14ac:dyDescent="0.25">
      <c r="A363" s="4"/>
    </row>
    <row r="364" spans="1:1" x14ac:dyDescent="0.25">
      <c r="A364" s="4"/>
    </row>
    <row r="365" spans="1:1" x14ac:dyDescent="0.25">
      <c r="A365" s="4"/>
    </row>
    <row r="366" spans="1:1" x14ac:dyDescent="0.25">
      <c r="A366" s="4"/>
    </row>
    <row r="367" spans="1:1" x14ac:dyDescent="0.25">
      <c r="A367" s="4"/>
    </row>
    <row r="368" spans="1:1" x14ac:dyDescent="0.25">
      <c r="A368" s="4"/>
    </row>
    <row r="369" spans="1:1" x14ac:dyDescent="0.25">
      <c r="A369" s="4"/>
    </row>
    <row r="370" spans="1:1" x14ac:dyDescent="0.25">
      <c r="A370" s="4"/>
    </row>
    <row r="371" spans="1:1" x14ac:dyDescent="0.25">
      <c r="A371" s="4"/>
    </row>
    <row r="372" spans="1:1" x14ac:dyDescent="0.25">
      <c r="A372" s="4"/>
    </row>
    <row r="373" spans="1:1" x14ac:dyDescent="0.25">
      <c r="A373" s="4"/>
    </row>
    <row r="374" spans="1:1" x14ac:dyDescent="0.25">
      <c r="A374" s="4"/>
    </row>
    <row r="375" spans="1:1" x14ac:dyDescent="0.25">
      <c r="A375" s="4"/>
    </row>
    <row r="376" spans="1:1" x14ac:dyDescent="0.25">
      <c r="A376" s="4"/>
    </row>
    <row r="377" spans="1:1" x14ac:dyDescent="0.25">
      <c r="A377" s="4"/>
    </row>
    <row r="378" spans="1:1" x14ac:dyDescent="0.25">
      <c r="A378" s="4"/>
    </row>
    <row r="379" spans="1:1" x14ac:dyDescent="0.25">
      <c r="A379" s="4"/>
    </row>
    <row r="380" spans="1:1" x14ac:dyDescent="0.25">
      <c r="A380" s="4"/>
    </row>
    <row r="381" spans="1:1" x14ac:dyDescent="0.25">
      <c r="A381" s="4"/>
    </row>
    <row r="382" spans="1:1" x14ac:dyDescent="0.25">
      <c r="A382" s="4"/>
    </row>
    <row r="383" spans="1:1" x14ac:dyDescent="0.25">
      <c r="A383" s="4"/>
    </row>
    <row r="384" spans="1:1" x14ac:dyDescent="0.25">
      <c r="A384" s="4"/>
    </row>
    <row r="385" spans="1:1" x14ac:dyDescent="0.25">
      <c r="A385" s="4"/>
    </row>
    <row r="386" spans="1:1" x14ac:dyDescent="0.25">
      <c r="A386" s="4"/>
    </row>
    <row r="387" spans="1:1" x14ac:dyDescent="0.25">
      <c r="A387" s="4"/>
    </row>
    <row r="388" spans="1:1" x14ac:dyDescent="0.25">
      <c r="A388" s="4"/>
    </row>
    <row r="389" spans="1:1" x14ac:dyDescent="0.25">
      <c r="A389" s="4"/>
    </row>
    <row r="390" spans="1:1" x14ac:dyDescent="0.25">
      <c r="A390" s="4"/>
    </row>
    <row r="391" spans="1:1" x14ac:dyDescent="0.25">
      <c r="A391" s="4"/>
    </row>
    <row r="392" spans="1:1" x14ac:dyDescent="0.25">
      <c r="A392" s="4"/>
    </row>
  </sheetData>
  <mergeCells count="331">
    <mergeCell ref="B187:E187"/>
    <mergeCell ref="F187:H187"/>
    <mergeCell ref="I187:L187"/>
    <mergeCell ref="N187:R187"/>
    <mergeCell ref="B188:L188"/>
    <mergeCell ref="D148:R148"/>
    <mergeCell ref="B181:E181"/>
    <mergeCell ref="F181:H181"/>
    <mergeCell ref="I181:L181"/>
    <mergeCell ref="N181:R181"/>
    <mergeCell ref="B183:E183"/>
    <mergeCell ref="F183:H183"/>
    <mergeCell ref="I183:L183"/>
    <mergeCell ref="N183:R183"/>
    <mergeCell ref="B185:E185"/>
    <mergeCell ref="F185:H185"/>
    <mergeCell ref="I185:L185"/>
    <mergeCell ref="N185:R185"/>
    <mergeCell ref="B177:E177"/>
    <mergeCell ref="F177:H177"/>
    <mergeCell ref="I177:L177"/>
    <mergeCell ref="N177:R177"/>
    <mergeCell ref="B178:E178"/>
    <mergeCell ref="F178:H178"/>
    <mergeCell ref="I178:L178"/>
    <mergeCell ref="N178:R178"/>
    <mergeCell ref="B180:E180"/>
    <mergeCell ref="F180:H180"/>
    <mergeCell ref="I180:L180"/>
    <mergeCell ref="N180:R180"/>
    <mergeCell ref="B171:E171"/>
    <mergeCell ref="B174:E174"/>
    <mergeCell ref="F174:H174"/>
    <mergeCell ref="I174:L174"/>
    <mergeCell ref="N174:R174"/>
    <mergeCell ref="B176:E176"/>
    <mergeCell ref="F176:H176"/>
    <mergeCell ref="I176:L176"/>
    <mergeCell ref="N176:R176"/>
    <mergeCell ref="D166:R166"/>
    <mergeCell ref="B167:E167"/>
    <mergeCell ref="J167:M167"/>
    <mergeCell ref="N167:R167"/>
    <mergeCell ref="B168:E168"/>
    <mergeCell ref="J168:M168"/>
    <mergeCell ref="N168:R168"/>
    <mergeCell ref="B169:E169"/>
    <mergeCell ref="J169:M169"/>
    <mergeCell ref="N169:R169"/>
    <mergeCell ref="D162:R162"/>
    <mergeCell ref="B163:E163"/>
    <mergeCell ref="J163:M163"/>
    <mergeCell ref="N163:R163"/>
    <mergeCell ref="B164:E164"/>
    <mergeCell ref="J164:M164"/>
    <mergeCell ref="N164:R164"/>
    <mergeCell ref="B165:E165"/>
    <mergeCell ref="J165:M165"/>
    <mergeCell ref="N165:R165"/>
    <mergeCell ref="D158:R158"/>
    <mergeCell ref="B159:E159"/>
    <mergeCell ref="J159:M159"/>
    <mergeCell ref="N159:R159"/>
    <mergeCell ref="B160:E160"/>
    <mergeCell ref="J160:M160"/>
    <mergeCell ref="N160:R160"/>
    <mergeCell ref="B161:E161"/>
    <mergeCell ref="J161:M161"/>
    <mergeCell ref="N161:R161"/>
    <mergeCell ref="B155:E155"/>
    <mergeCell ref="J155:M155"/>
    <mergeCell ref="N155:R155"/>
    <mergeCell ref="B156:E156"/>
    <mergeCell ref="J156:M156"/>
    <mergeCell ref="N156:R156"/>
    <mergeCell ref="B157:E157"/>
    <mergeCell ref="J157:M157"/>
    <mergeCell ref="N157:R157"/>
    <mergeCell ref="B151:E151"/>
    <mergeCell ref="J151:M151"/>
    <mergeCell ref="N151:R151"/>
    <mergeCell ref="D152:R152"/>
    <mergeCell ref="B153:E153"/>
    <mergeCell ref="J153:M153"/>
    <mergeCell ref="N153:R153"/>
    <mergeCell ref="B154:E154"/>
    <mergeCell ref="J154:M154"/>
    <mergeCell ref="N154:R154"/>
    <mergeCell ref="B149:E149"/>
    <mergeCell ref="J149:M149"/>
    <mergeCell ref="N149:R149"/>
    <mergeCell ref="P136:S136"/>
    <mergeCell ref="D137:E137"/>
    <mergeCell ref="H137:I137"/>
    <mergeCell ref="P137:S137"/>
    <mergeCell ref="H144:I144"/>
    <mergeCell ref="B150:E150"/>
    <mergeCell ref="J150:M150"/>
    <mergeCell ref="N150:R150"/>
    <mergeCell ref="H40:I40"/>
    <mergeCell ref="P130:S130"/>
    <mergeCell ref="D131:E131"/>
    <mergeCell ref="H131:I131"/>
    <mergeCell ref="P131:S131"/>
    <mergeCell ref="D132:E132"/>
    <mergeCell ref="H132:I132"/>
    <mergeCell ref="P132:S132"/>
    <mergeCell ref="D133:E133"/>
    <mergeCell ref="H133:I133"/>
    <mergeCell ref="P133:S133"/>
    <mergeCell ref="C100:D100"/>
    <mergeCell ref="K95:M95"/>
    <mergeCell ref="D129:E129"/>
    <mergeCell ref="H129:I129"/>
    <mergeCell ref="P129:S129"/>
    <mergeCell ref="D130:E130"/>
    <mergeCell ref="K84:M84"/>
    <mergeCell ref="K89:M89"/>
    <mergeCell ref="K67:L67"/>
    <mergeCell ref="C68:D68"/>
    <mergeCell ref="K71:L71"/>
    <mergeCell ref="C93:D93"/>
    <mergeCell ref="K91:M91"/>
    <mergeCell ref="I16:I17"/>
    <mergeCell ref="K66:L66"/>
    <mergeCell ref="C65:D65"/>
    <mergeCell ref="B24:H24"/>
    <mergeCell ref="D40:E40"/>
    <mergeCell ref="E16:E17"/>
    <mergeCell ref="D35:E35"/>
    <mergeCell ref="C57:D57"/>
    <mergeCell ref="C56:D56"/>
    <mergeCell ref="B16:B17"/>
    <mergeCell ref="F40:G40"/>
    <mergeCell ref="C58:D58"/>
    <mergeCell ref="F16:F17"/>
    <mergeCell ref="F35:G35"/>
    <mergeCell ref="J16:J17"/>
    <mergeCell ref="K16:X16"/>
    <mergeCell ref="G16:H16"/>
    <mergeCell ref="F43:G43"/>
    <mergeCell ref="C35:C36"/>
    <mergeCell ref="C16:C17"/>
    <mergeCell ref="D16:D17"/>
    <mergeCell ref="D43:E43"/>
    <mergeCell ref="L35:M35"/>
    <mergeCell ref="K58:L58"/>
    <mergeCell ref="B213:C213"/>
    <mergeCell ref="D213:F213"/>
    <mergeCell ref="B212:C212"/>
    <mergeCell ref="D212:F212"/>
    <mergeCell ref="G212:I212"/>
    <mergeCell ref="P138:S138"/>
    <mergeCell ref="H135:I135"/>
    <mergeCell ref="P135:S135"/>
    <mergeCell ref="D136:E136"/>
    <mergeCell ref="G213:I213"/>
    <mergeCell ref="B210:C210"/>
    <mergeCell ref="D210:F210"/>
    <mergeCell ref="B192:C192"/>
    <mergeCell ref="G210:I210"/>
    <mergeCell ref="B211:C211"/>
    <mergeCell ref="D211:F211"/>
    <mergeCell ref="G211:I211"/>
    <mergeCell ref="B193:C193"/>
    <mergeCell ref="B194:C194"/>
    <mergeCell ref="B203:C203"/>
    <mergeCell ref="D203:F203"/>
    <mergeCell ref="G203:I203"/>
    <mergeCell ref="F198:I198"/>
    <mergeCell ref="B195:C195"/>
    <mergeCell ref="D134:E134"/>
    <mergeCell ref="H134:I134"/>
    <mergeCell ref="P134:S134"/>
    <mergeCell ref="D135:E135"/>
    <mergeCell ref="B147:E147"/>
    <mergeCell ref="J147:M147"/>
    <mergeCell ref="N147:R147"/>
    <mergeCell ref="C62:D62"/>
    <mergeCell ref="Y16:Y17"/>
    <mergeCell ref="M17:N17"/>
    <mergeCell ref="O17:P17"/>
    <mergeCell ref="Q17:R17"/>
    <mergeCell ref="S17:T17"/>
    <mergeCell ref="U17:V17"/>
    <mergeCell ref="W17:X17"/>
    <mergeCell ref="K93:M93"/>
    <mergeCell ref="M56:N62"/>
    <mergeCell ref="L43:M43"/>
    <mergeCell ref="J43:K43"/>
    <mergeCell ref="K56:L56"/>
    <mergeCell ref="J40:K40"/>
    <mergeCell ref="K59:L59"/>
    <mergeCell ref="K68:L68"/>
    <mergeCell ref="K62:L62"/>
    <mergeCell ref="J38:K38"/>
    <mergeCell ref="L38:M38"/>
    <mergeCell ref="C96:D96"/>
    <mergeCell ref="C79:D79"/>
    <mergeCell ref="C67:D67"/>
    <mergeCell ref="B30:E30"/>
    <mergeCell ref="C40:C41"/>
    <mergeCell ref="C71:D71"/>
    <mergeCell ref="L40:M40"/>
    <mergeCell ref="C80:D80"/>
    <mergeCell ref="C77:D77"/>
    <mergeCell ref="K77:M77"/>
    <mergeCell ref="H35:I35"/>
    <mergeCell ref="J35:K35"/>
    <mergeCell ref="C69:D69"/>
    <mergeCell ref="B40:B41"/>
    <mergeCell ref="C59:D59"/>
    <mergeCell ref="C60:D60"/>
    <mergeCell ref="M66:N72"/>
    <mergeCell ref="K65:L65"/>
    <mergeCell ref="M65:N65"/>
    <mergeCell ref="K69:L69"/>
    <mergeCell ref="K70:L70"/>
    <mergeCell ref="K60:L60"/>
    <mergeCell ref="C94:D94"/>
    <mergeCell ref="L110:M112"/>
    <mergeCell ref="H115:I115"/>
    <mergeCell ref="G202:I202"/>
    <mergeCell ref="C92:D92"/>
    <mergeCell ref="B191:C191"/>
    <mergeCell ref="G209:I209"/>
    <mergeCell ref="B205:C205"/>
    <mergeCell ref="D205:F205"/>
    <mergeCell ref="G205:I205"/>
    <mergeCell ref="B204:C204"/>
    <mergeCell ref="D204:F204"/>
    <mergeCell ref="H116:I116"/>
    <mergeCell ref="D138:E138"/>
    <mergeCell ref="H138:I138"/>
    <mergeCell ref="H119:I119"/>
    <mergeCell ref="L107:M107"/>
    <mergeCell ref="H124:I124"/>
    <mergeCell ref="H126:I126"/>
    <mergeCell ref="C95:D95"/>
    <mergeCell ref="D191:F191"/>
    <mergeCell ref="H118:I118"/>
    <mergeCell ref="H117:I117"/>
    <mergeCell ref="L105:M105"/>
    <mergeCell ref="C75:D75"/>
    <mergeCell ref="K79:M79"/>
    <mergeCell ref="C72:D72"/>
    <mergeCell ref="K90:M90"/>
    <mergeCell ref="C85:D85"/>
    <mergeCell ref="K83:M83"/>
    <mergeCell ref="C87:D87"/>
    <mergeCell ref="C88:D88"/>
    <mergeCell ref="C91:D91"/>
    <mergeCell ref="K87:M87"/>
    <mergeCell ref="K88:M88"/>
    <mergeCell ref="K80:M80"/>
    <mergeCell ref="C89:D89"/>
    <mergeCell ref="C84:D84"/>
    <mergeCell ref="C86:D86"/>
    <mergeCell ref="H122:I122"/>
    <mergeCell ref="H112:I112"/>
    <mergeCell ref="K96:M96"/>
    <mergeCell ref="H136:I136"/>
    <mergeCell ref="H141:I141"/>
    <mergeCell ref="H142:I142"/>
    <mergeCell ref="H143:I143"/>
    <mergeCell ref="H140:I140"/>
    <mergeCell ref="H130:I130"/>
    <mergeCell ref="L109:M109"/>
    <mergeCell ref="H125:I125"/>
    <mergeCell ref="L106:M106"/>
    <mergeCell ref="G195:I195"/>
    <mergeCell ref="D193:F193"/>
    <mergeCell ref="D202:F202"/>
    <mergeCell ref="G194:I194"/>
    <mergeCell ref="B206:C206"/>
    <mergeCell ref="D206:F206"/>
    <mergeCell ref="B202:C202"/>
    <mergeCell ref="B209:C209"/>
    <mergeCell ref="F199:I199"/>
    <mergeCell ref="G206:I206"/>
    <mergeCell ref="G204:I204"/>
    <mergeCell ref="D195:F195"/>
    <mergeCell ref="D194:F194"/>
    <mergeCell ref="C70:D70"/>
    <mergeCell ref="K75:M75"/>
    <mergeCell ref="K76:M76"/>
    <mergeCell ref="K61:L61"/>
    <mergeCell ref="K100:M100"/>
    <mergeCell ref="K102:M102"/>
    <mergeCell ref="C98:D98"/>
    <mergeCell ref="K99:M99"/>
    <mergeCell ref="H38:I38"/>
    <mergeCell ref="K86:M86"/>
    <mergeCell ref="C81:D81"/>
    <mergeCell ref="H43:I43"/>
    <mergeCell ref="K55:L55"/>
    <mergeCell ref="M55:N55"/>
    <mergeCell ref="K98:M98"/>
    <mergeCell ref="C99:D99"/>
    <mergeCell ref="C61:D61"/>
    <mergeCell ref="C82:D82"/>
    <mergeCell ref="K72:L72"/>
    <mergeCell ref="C76:D76"/>
    <mergeCell ref="K78:M78"/>
    <mergeCell ref="K94:M94"/>
    <mergeCell ref="C90:D90"/>
    <mergeCell ref="K92:M92"/>
    <mergeCell ref="G192:I192"/>
    <mergeCell ref="G193:I193"/>
    <mergeCell ref="K85:M85"/>
    <mergeCell ref="K97:M97"/>
    <mergeCell ref="C97:D97"/>
    <mergeCell ref="D192:F192"/>
    <mergeCell ref="B2:M2"/>
    <mergeCell ref="D209:F209"/>
    <mergeCell ref="K81:M81"/>
    <mergeCell ref="C66:D66"/>
    <mergeCell ref="C78:D78"/>
    <mergeCell ref="B47:B49"/>
    <mergeCell ref="G191:I191"/>
    <mergeCell ref="L108:M108"/>
    <mergeCell ref="B35:B36"/>
    <mergeCell ref="C55:D55"/>
    <mergeCell ref="D38:E38"/>
    <mergeCell ref="H123:I123"/>
    <mergeCell ref="K82:M82"/>
    <mergeCell ref="C83:D83"/>
    <mergeCell ref="K57:L57"/>
    <mergeCell ref="C27:H27"/>
    <mergeCell ref="C102:D102"/>
    <mergeCell ref="F38:G38"/>
  </mergeCells>
  <dataValidations disablePrompts="1" count="17">
    <dataValidation type="list" errorStyle="information" allowBlank="1" showInputMessage="1" showErrorMessage="1" sqref="J76:J102 J56:J62 J66:J72" xr:uid="{00000000-0002-0000-0000-000000000000}">
      <formula1>"               ,Active,Awarded,Completed"</formula1>
    </dataValidation>
    <dataValidation allowBlank="1" showInputMessage="1" showErrorMessage="1" prompt="Please do not overwrite formula in this cell unless you are absolutely certain of the PCR due date" sqref="F14" xr:uid="{6B141627-1F15-4D4C-A7AB-FF51EFE9C48E}"/>
    <dataValidation allowBlank="1" showInputMessage="1" showErrorMessage="1" prompt="Please do not overwrite the figures here as these are automatically calculated" sqref="N22 P22:V22" xr:uid="{5FBA07E1-CC75-4E9B-B9D3-8430B213205D}"/>
    <dataValidation operator="greaterThanOrEqual" allowBlank="1" showInputMessage="1" showErrorMessage="1" prompt="Please do not overwrite data in these cells if project is not yet financially closed" sqref="J18:J21" xr:uid="{3E3F0826-E38B-420E-AA20-D393DB244BFC}"/>
    <dataValidation type="list" allowBlank="1" showInputMessage="1" showErrorMessage="1" sqref="N130:N138 N141:N143" xr:uid="{5E7079E7-2CD7-4355-9489-1197BE6874C7}">
      <formula1>"Selection,Active,Completed,Financially Closed"</formula1>
    </dataValidation>
    <dataValidation type="list" allowBlank="1" showInputMessage="1" showErrorMessage="1" sqref="B141:B143 G141:G143 H170" xr:uid="{F5CB1DC2-E0D0-448E-BE3A-B03202C839AD}">
      <formula1>#REF!</formula1>
    </dataValidation>
    <dataValidation type="list" allowBlank="1" showInputMessage="1" showErrorMessage="1" sqref="F139:G139" xr:uid="{C67D881C-E104-4DD8-8056-0F91E9F97F3D}">
      <formula1>OFFSET(#REF!,0,0,COUNTA(#REF!),1)</formula1>
    </dataValidation>
    <dataValidation allowBlank="1" showErrorMessage="1" sqref="M18:X21" xr:uid="{3BF9C72D-62E2-4961-B052-95DC2466A5A3}"/>
    <dataValidation allowBlank="1" showErrorMessage="1" prompt="Please explain any project changes w/ date of change memo, save memo in sharepoint: CWEN Portfolio &gt; CWEN change memos." sqref="Y18:Y21" xr:uid="{E7292C58-2D53-45D9-B105-07471DFB3BF5}"/>
    <dataValidation allowBlank="1" sqref="B130:B138" xr:uid="{5F3F5DA4-233C-4AE1-9B28-E0A9110876AA}"/>
    <dataValidation allowBlank="1" showInputMessage="1" showErrorMessage="1" prompt="Will improve to OT by _______. {add action plan}" sqref="N163:R165 N149:R151 N167:R170 N159:R161 N153:R157" xr:uid="{00143B1A-7F4A-4BFF-9039-6692D46FD551}"/>
    <dataValidation allowBlank="1" showInputMessage="1" showErrorMessage="1" prompt="Score is automatically calculated. There is no need to alter this cell." sqref="I153:I157 I167:I170 I163:I165 I149:I151 I159:I161" xr:uid="{8CFC4D88-6760-4A84-9E8B-057135B1D85D}"/>
    <dataValidation allowBlank="1" showInputMessage="1" showErrorMessage="1" prompt="Write output 1 here" sqref="D148" xr:uid="{8F6F0648-0BD1-4762-B92C-94E7AC52BE3C}"/>
    <dataValidation allowBlank="1" showInputMessage="1" showErrorMessage="1" prompt="Write output 2 here" sqref="D152:R152" xr:uid="{1CE7547D-CA27-4B5B-B300-D33520E800E4}"/>
    <dataValidation allowBlank="1" showInputMessage="1" showErrorMessage="1" prompt="Write output 3 here" sqref="D158:R158" xr:uid="{9DC21946-1F72-451C-AA0D-102F6855ABDD}"/>
    <dataValidation allowBlank="1" showInputMessage="1" showErrorMessage="1" prompt="Write output 4 here" sqref="D162:R162" xr:uid="{F86FCDFA-6C06-4587-8F7B-25B7BB504659}"/>
    <dataValidation allowBlank="1" showInputMessage="1" showErrorMessage="1" prompt="Write output 5 here" sqref="D166:R166" xr:uid="{7AB97C05-CA12-4D8E-8F30-95230E361755}"/>
  </dataValidations>
  <pageMargins left="0.7" right="0.7" top="0.75" bottom="0.75" header="0.3" footer="0.3"/>
  <pageSetup scale="46" orientation="landscape" verticalDpi="1200" r:id="rId1"/>
  <ignoredErrors>
    <ignoredError sqref="I39 G39 E39" formula="1"/>
  </ignoredError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AA1C342-5081-4BDE-AF85-30BBFB11F0EC}">
          <x14:formula1>
            <xm:f>List!$M$2:$M$10</xm:f>
          </x14:formula1>
          <xm:sqref>I176:L178 I180:L181 I183:L183 I185:L185 I187:L187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2:J148"/>
  <sheetViews>
    <sheetView showGridLines="0" workbookViewId="0">
      <selection activeCell="C5" sqref="C5:F5"/>
    </sheetView>
  </sheetViews>
  <sheetFormatPr defaultRowHeight="11.4" x14ac:dyDescent="0.2"/>
  <cols>
    <col min="1" max="1" width="8.88671875" style="227" customWidth="1"/>
    <col min="2" max="2" width="70.88671875" style="227" customWidth="1"/>
    <col min="3" max="3" width="9" style="226" bestFit="1" customWidth="1"/>
    <col min="4" max="4" width="10.44140625" style="226" bestFit="1" customWidth="1"/>
    <col min="5" max="5" width="7.109375" style="226" bestFit="1" customWidth="1"/>
    <col min="6" max="6" width="14.88671875" style="226" bestFit="1" customWidth="1"/>
    <col min="7" max="7" width="10.77734375" style="227" bestFit="1" customWidth="1"/>
    <col min="8" max="12" width="8.88671875" style="227" customWidth="1"/>
    <col min="13" max="13" width="14.21875" style="227" bestFit="1" customWidth="1"/>
    <col min="14" max="14" width="8.88671875" style="227" customWidth="1"/>
    <col min="15" max="16384" width="8.88671875" style="227"/>
  </cols>
  <sheetData>
    <row r="2" spans="2:9" ht="17.399999999999999" customHeight="1" x14ac:dyDescent="0.25">
      <c r="B2" s="225" t="s">
        <v>134</v>
      </c>
    </row>
    <row r="4" spans="2:9" ht="12" x14ac:dyDescent="0.25">
      <c r="B4" s="228" t="s">
        <v>135</v>
      </c>
    </row>
    <row r="5" spans="2:9" ht="13.2" customHeight="1" x14ac:dyDescent="0.25">
      <c r="B5" s="229" t="s">
        <v>136</v>
      </c>
      <c r="C5" s="230" t="s">
        <v>137</v>
      </c>
      <c r="D5" s="230" t="s">
        <v>203</v>
      </c>
      <c r="E5" s="230" t="s">
        <v>140</v>
      </c>
      <c r="F5" s="230" t="s">
        <v>204</v>
      </c>
    </row>
    <row r="6" spans="2:9" ht="13.2" customHeight="1" x14ac:dyDescent="0.2">
      <c r="B6" s="231" t="s">
        <v>138</v>
      </c>
      <c r="C6" s="232" t="s">
        <v>139</v>
      </c>
      <c r="D6" s="232"/>
      <c r="E6" s="232"/>
      <c r="F6" s="232" t="s">
        <v>253</v>
      </c>
    </row>
    <row r="7" spans="2:9" ht="13.2" customHeight="1" x14ac:dyDescent="0.2">
      <c r="B7" s="231" t="s">
        <v>128</v>
      </c>
      <c r="C7" s="232" t="s">
        <v>139</v>
      </c>
      <c r="D7" s="232"/>
      <c r="E7" s="232"/>
      <c r="F7" s="232" t="s">
        <v>253</v>
      </c>
    </row>
    <row r="8" spans="2:9" ht="13.2" customHeight="1" x14ac:dyDescent="0.2">
      <c r="B8" s="231" t="s">
        <v>1</v>
      </c>
      <c r="C8" s="232" t="s">
        <v>139</v>
      </c>
      <c r="D8" s="232"/>
      <c r="E8" s="232"/>
      <c r="F8" s="232" t="s">
        <v>253</v>
      </c>
    </row>
    <row r="9" spans="2:9" ht="13.2" customHeight="1" x14ac:dyDescent="0.2">
      <c r="B9" s="231" t="s">
        <v>3</v>
      </c>
      <c r="C9" s="232" t="s">
        <v>139</v>
      </c>
      <c r="D9" s="232"/>
      <c r="E9" s="232"/>
      <c r="F9" s="232" t="s">
        <v>253</v>
      </c>
      <c r="I9" s="227" t="s">
        <v>491</v>
      </c>
    </row>
    <row r="10" spans="2:9" ht="13.2" customHeight="1" x14ac:dyDescent="0.2">
      <c r="B10" s="231" t="s">
        <v>5</v>
      </c>
      <c r="C10" s="232" t="s">
        <v>139</v>
      </c>
      <c r="D10" s="232"/>
      <c r="E10" s="232"/>
      <c r="F10" s="232" t="s">
        <v>253</v>
      </c>
    </row>
    <row r="11" spans="2:9" ht="13.2" customHeight="1" x14ac:dyDescent="0.2">
      <c r="B11" s="231" t="s">
        <v>7</v>
      </c>
      <c r="C11" s="232" t="s">
        <v>139</v>
      </c>
      <c r="D11" s="232"/>
      <c r="E11" s="232"/>
      <c r="F11" s="232" t="s">
        <v>253</v>
      </c>
    </row>
    <row r="12" spans="2:9" ht="13.2" customHeight="1" x14ac:dyDescent="0.2">
      <c r="B12" s="231" t="s">
        <v>9</v>
      </c>
      <c r="C12" s="232" t="s">
        <v>139</v>
      </c>
      <c r="D12" s="232"/>
      <c r="E12" s="232"/>
      <c r="F12" s="232" t="s">
        <v>253</v>
      </c>
    </row>
    <row r="13" spans="2:9" ht="13.2" customHeight="1" x14ac:dyDescent="0.2">
      <c r="B13" s="231" t="s">
        <v>10</v>
      </c>
      <c r="C13" s="232" t="s">
        <v>139</v>
      </c>
      <c r="D13" s="232"/>
      <c r="E13" s="232"/>
      <c r="F13" s="232" t="s">
        <v>253</v>
      </c>
    </row>
    <row r="14" spans="2:9" ht="13.2" customHeight="1" x14ac:dyDescent="0.2">
      <c r="B14" s="231" t="s">
        <v>2</v>
      </c>
      <c r="C14" s="232" t="s">
        <v>139</v>
      </c>
      <c r="D14" s="232"/>
      <c r="E14" s="232"/>
      <c r="F14" s="232" t="s">
        <v>253</v>
      </c>
    </row>
    <row r="15" spans="2:9" ht="13.2" customHeight="1" x14ac:dyDescent="0.2">
      <c r="B15" s="231" t="s">
        <v>4</v>
      </c>
      <c r="C15" s="232" t="s">
        <v>139</v>
      </c>
      <c r="D15" s="232"/>
      <c r="E15" s="232"/>
      <c r="F15" s="232" t="s">
        <v>253</v>
      </c>
    </row>
    <row r="16" spans="2:9" ht="13.2" customHeight="1" x14ac:dyDescent="0.2">
      <c r="B16" s="231" t="s">
        <v>6</v>
      </c>
      <c r="C16" s="232" t="s">
        <v>139</v>
      </c>
      <c r="D16" s="232"/>
      <c r="E16" s="232"/>
      <c r="F16" s="232" t="s">
        <v>253</v>
      </c>
    </row>
    <row r="17" spans="2:7" ht="13.2" customHeight="1" x14ac:dyDescent="0.2">
      <c r="B17" s="231" t="s">
        <v>8</v>
      </c>
      <c r="C17" s="232" t="s">
        <v>139</v>
      </c>
      <c r="D17" s="232"/>
      <c r="E17" s="232"/>
      <c r="F17" s="232"/>
    </row>
    <row r="18" spans="2:7" ht="13.2" customHeight="1" x14ac:dyDescent="0.2">
      <c r="B18" s="231" t="s">
        <v>11</v>
      </c>
      <c r="C18" s="232" t="s">
        <v>139</v>
      </c>
      <c r="D18" s="232"/>
      <c r="E18" s="232"/>
      <c r="F18" s="232"/>
    </row>
    <row r="19" spans="2:7" ht="13.2" customHeight="1" x14ac:dyDescent="0.2">
      <c r="B19" s="231"/>
      <c r="C19" s="232"/>
      <c r="D19" s="232"/>
      <c r="E19" s="232"/>
      <c r="F19" s="232"/>
    </row>
    <row r="20" spans="2:7" ht="13.2" customHeight="1" x14ac:dyDescent="0.2">
      <c r="B20" s="233"/>
    </row>
    <row r="21" spans="2:7" ht="12" x14ac:dyDescent="0.25">
      <c r="B21" s="228" t="s">
        <v>12</v>
      </c>
    </row>
    <row r="22" spans="2:7" ht="13.2" customHeight="1" x14ac:dyDescent="0.25">
      <c r="B22" s="229" t="s">
        <v>136</v>
      </c>
      <c r="C22" s="230" t="s">
        <v>137</v>
      </c>
      <c r="D22" s="230" t="s">
        <v>203</v>
      </c>
      <c r="E22" s="230" t="s">
        <v>140</v>
      </c>
      <c r="F22" s="230" t="s">
        <v>204</v>
      </c>
    </row>
    <row r="23" spans="2:7" ht="13.2" customHeight="1" x14ac:dyDescent="0.2">
      <c r="B23" s="231" t="s">
        <v>13</v>
      </c>
      <c r="C23" s="232" t="s">
        <v>140</v>
      </c>
      <c r="D23" s="232"/>
      <c r="E23" s="232"/>
      <c r="F23" s="232"/>
    </row>
    <row r="24" spans="2:7" ht="13.2" customHeight="1" x14ac:dyDescent="0.2">
      <c r="B24" s="231" t="s">
        <v>14</v>
      </c>
      <c r="C24" s="232" t="s">
        <v>140</v>
      </c>
      <c r="D24" s="232"/>
      <c r="E24" s="232"/>
      <c r="F24" s="232"/>
    </row>
    <row r="25" spans="2:7" ht="13.2" customHeight="1" x14ac:dyDescent="0.2">
      <c r="B25" s="231" t="s">
        <v>15</v>
      </c>
      <c r="C25" s="232" t="s">
        <v>140</v>
      </c>
      <c r="D25" s="232"/>
      <c r="E25" s="232"/>
      <c r="F25" s="232"/>
    </row>
    <row r="26" spans="2:7" ht="13.2" customHeight="1" x14ac:dyDescent="0.2">
      <c r="B26" s="234" t="s">
        <v>17</v>
      </c>
      <c r="C26" s="235" t="s">
        <v>139</v>
      </c>
      <c r="D26" s="235"/>
      <c r="E26" s="235"/>
      <c r="F26" s="235"/>
      <c r="G26" s="236" t="s">
        <v>141</v>
      </c>
    </row>
    <row r="27" spans="2:7" ht="13.2" customHeight="1" x14ac:dyDescent="0.2">
      <c r="B27" s="234" t="s">
        <v>18</v>
      </c>
      <c r="C27" s="235" t="s">
        <v>139</v>
      </c>
      <c r="D27" s="235"/>
      <c r="E27" s="235"/>
      <c r="F27" s="235"/>
      <c r="G27" s="236" t="s">
        <v>141</v>
      </c>
    </row>
    <row r="28" spans="2:7" ht="13.2" customHeight="1" x14ac:dyDescent="0.2">
      <c r="B28" s="234" t="s">
        <v>19</v>
      </c>
      <c r="C28" s="235" t="s">
        <v>139</v>
      </c>
      <c r="D28" s="235"/>
      <c r="E28" s="235"/>
      <c r="F28" s="235"/>
      <c r="G28" s="236" t="s">
        <v>141</v>
      </c>
    </row>
    <row r="29" spans="2:7" ht="13.2" customHeight="1" x14ac:dyDescent="0.2">
      <c r="B29" s="234" t="s">
        <v>20</v>
      </c>
      <c r="C29" s="235" t="s">
        <v>139</v>
      </c>
      <c r="D29" s="235"/>
      <c r="E29" s="235"/>
      <c r="F29" s="235"/>
      <c r="G29" s="236" t="s">
        <v>141</v>
      </c>
    </row>
    <row r="30" spans="2:7" ht="13.2" customHeight="1" x14ac:dyDescent="0.2">
      <c r="B30" s="234" t="s">
        <v>21</v>
      </c>
      <c r="C30" s="235" t="s">
        <v>139</v>
      </c>
      <c r="D30" s="235"/>
      <c r="E30" s="235"/>
      <c r="F30" s="235"/>
      <c r="G30" s="236" t="s">
        <v>141</v>
      </c>
    </row>
    <row r="31" spans="2:7" ht="13.2" customHeight="1" x14ac:dyDescent="0.2">
      <c r="B31" s="234" t="s">
        <v>22</v>
      </c>
      <c r="C31" s="235" t="s">
        <v>139</v>
      </c>
      <c r="D31" s="235"/>
      <c r="E31" s="235"/>
      <c r="F31" s="235"/>
      <c r="G31" s="236" t="s">
        <v>141</v>
      </c>
    </row>
    <row r="32" spans="2:7" ht="13.2" customHeight="1" x14ac:dyDescent="0.2">
      <c r="B32" s="234" t="s">
        <v>142</v>
      </c>
      <c r="C32" s="235" t="s">
        <v>139</v>
      </c>
      <c r="D32" s="235"/>
      <c r="E32" s="235"/>
      <c r="F32" s="235"/>
      <c r="G32" s="236" t="s">
        <v>141</v>
      </c>
    </row>
    <row r="33" spans="2:7" ht="13.2" customHeight="1" x14ac:dyDescent="0.2">
      <c r="B33" s="234" t="s">
        <v>143</v>
      </c>
      <c r="C33" s="235" t="s">
        <v>139</v>
      </c>
      <c r="D33" s="235"/>
      <c r="E33" s="235"/>
      <c r="F33" s="235"/>
      <c r="G33" s="236" t="s">
        <v>141</v>
      </c>
    </row>
    <row r="34" spans="2:7" ht="13.2" customHeight="1" x14ac:dyDescent="0.2">
      <c r="B34" s="234" t="s">
        <v>144</v>
      </c>
      <c r="C34" s="235" t="s">
        <v>139</v>
      </c>
      <c r="D34" s="235"/>
      <c r="E34" s="235"/>
      <c r="F34" s="235"/>
      <c r="G34" s="236" t="s">
        <v>141</v>
      </c>
    </row>
    <row r="35" spans="2:7" ht="13.2" customHeight="1" x14ac:dyDescent="0.2">
      <c r="B35" s="234" t="s">
        <v>26</v>
      </c>
      <c r="C35" s="235" t="s">
        <v>139</v>
      </c>
      <c r="D35" s="235"/>
      <c r="E35" s="235"/>
      <c r="F35" s="235"/>
      <c r="G35" s="236" t="s">
        <v>141</v>
      </c>
    </row>
    <row r="36" spans="2:7" ht="13.2" customHeight="1" x14ac:dyDescent="0.2">
      <c r="B36" s="234" t="s">
        <v>27</v>
      </c>
      <c r="C36" s="235" t="s">
        <v>139</v>
      </c>
      <c r="D36" s="235"/>
      <c r="E36" s="235"/>
      <c r="F36" s="235"/>
      <c r="G36" s="236" t="s">
        <v>141</v>
      </c>
    </row>
    <row r="37" spans="2:7" ht="13.2" customHeight="1" x14ac:dyDescent="0.2">
      <c r="B37" s="234" t="s">
        <v>28</v>
      </c>
      <c r="C37" s="235" t="s">
        <v>139</v>
      </c>
      <c r="D37" s="235"/>
      <c r="E37" s="235"/>
      <c r="F37" s="235"/>
      <c r="G37" s="236" t="s">
        <v>141</v>
      </c>
    </row>
    <row r="38" spans="2:7" ht="13.2" customHeight="1" x14ac:dyDescent="0.2">
      <c r="B38" s="234" t="s">
        <v>29</v>
      </c>
      <c r="C38" s="235" t="s">
        <v>139</v>
      </c>
      <c r="D38" s="235"/>
      <c r="E38" s="235"/>
      <c r="F38" s="235"/>
      <c r="G38" s="236" t="s">
        <v>141</v>
      </c>
    </row>
    <row r="39" spans="2:7" ht="13.2" customHeight="1" x14ac:dyDescent="0.2">
      <c r="B39" s="231"/>
      <c r="C39" s="232"/>
      <c r="D39" s="232"/>
      <c r="E39" s="232"/>
      <c r="F39" s="232"/>
    </row>
    <row r="40" spans="2:7" ht="13.2" customHeight="1" x14ac:dyDescent="0.2">
      <c r="B40" s="233"/>
    </row>
    <row r="41" spans="2:7" ht="12" x14ac:dyDescent="0.25">
      <c r="B41" s="228" t="s">
        <v>30</v>
      </c>
    </row>
    <row r="42" spans="2:7" ht="13.2" customHeight="1" x14ac:dyDescent="0.25">
      <c r="B42" s="229" t="s">
        <v>136</v>
      </c>
      <c r="C42" s="230" t="s">
        <v>137</v>
      </c>
      <c r="D42" s="230" t="s">
        <v>203</v>
      </c>
      <c r="E42" s="230" t="s">
        <v>140</v>
      </c>
      <c r="F42" s="230" t="s">
        <v>204</v>
      </c>
    </row>
    <row r="43" spans="2:7" ht="13.2" customHeight="1" x14ac:dyDescent="0.2">
      <c r="B43" s="231" t="s">
        <v>145</v>
      </c>
      <c r="C43" s="232" t="s">
        <v>139</v>
      </c>
      <c r="D43" s="232"/>
      <c r="E43" s="232"/>
      <c r="F43" s="232"/>
    </row>
    <row r="44" spans="2:7" ht="13.2" customHeight="1" x14ac:dyDescent="0.2">
      <c r="B44" s="231" t="s">
        <v>33</v>
      </c>
      <c r="C44" s="232" t="s">
        <v>139</v>
      </c>
      <c r="D44" s="232"/>
      <c r="E44" s="232"/>
      <c r="F44" s="232"/>
    </row>
    <row r="45" spans="2:7" ht="13.2" customHeight="1" x14ac:dyDescent="0.2">
      <c r="B45" s="231" t="s">
        <v>34</v>
      </c>
      <c r="C45" s="232" t="s">
        <v>139</v>
      </c>
      <c r="D45" s="232"/>
      <c r="E45" s="232"/>
      <c r="F45" s="232"/>
    </row>
    <row r="46" spans="2:7" ht="13.2" customHeight="1" x14ac:dyDescent="0.2">
      <c r="B46" s="231" t="s">
        <v>35</v>
      </c>
      <c r="C46" s="232" t="s">
        <v>139</v>
      </c>
      <c r="D46" s="232"/>
      <c r="E46" s="232"/>
      <c r="F46" s="232"/>
    </row>
    <row r="47" spans="2:7" ht="13.2" customHeight="1" x14ac:dyDescent="0.2">
      <c r="B47" s="231" t="s">
        <v>36</v>
      </c>
      <c r="C47" s="232" t="s">
        <v>139</v>
      </c>
      <c r="D47" s="232"/>
      <c r="E47" s="232"/>
      <c r="F47" s="232"/>
    </row>
    <row r="48" spans="2:7" ht="13.2" customHeight="1" x14ac:dyDescent="0.2">
      <c r="B48" s="231" t="s">
        <v>37</v>
      </c>
      <c r="C48" s="232" t="s">
        <v>139</v>
      </c>
      <c r="D48" s="232"/>
      <c r="E48" s="232"/>
      <c r="F48" s="232"/>
    </row>
    <row r="49" spans="2:6" ht="13.2" customHeight="1" x14ac:dyDescent="0.2">
      <c r="B49" s="231" t="s">
        <v>38</v>
      </c>
      <c r="C49" s="232" t="s">
        <v>139</v>
      </c>
      <c r="D49" s="232"/>
      <c r="E49" s="232"/>
      <c r="F49" s="232"/>
    </row>
    <row r="50" spans="2:6" ht="13.2" customHeight="1" x14ac:dyDescent="0.2">
      <c r="B50" s="231" t="s">
        <v>146</v>
      </c>
      <c r="C50" s="232" t="s">
        <v>139</v>
      </c>
      <c r="D50" s="232"/>
      <c r="E50" s="232"/>
      <c r="F50" s="232"/>
    </row>
    <row r="51" spans="2:6" ht="13.2" customHeight="1" x14ac:dyDescent="0.2">
      <c r="B51" s="231"/>
      <c r="C51" s="232"/>
      <c r="D51" s="232"/>
      <c r="E51" s="232"/>
      <c r="F51" s="232"/>
    </row>
    <row r="52" spans="2:6" ht="13.2" customHeight="1" x14ac:dyDescent="0.2">
      <c r="B52" s="233"/>
    </row>
    <row r="53" spans="2:6" ht="12" x14ac:dyDescent="0.25">
      <c r="B53" s="228" t="s">
        <v>40</v>
      </c>
    </row>
    <row r="54" spans="2:6" ht="13.2" customHeight="1" x14ac:dyDescent="0.25">
      <c r="B54" s="229" t="s">
        <v>136</v>
      </c>
      <c r="C54" s="230" t="s">
        <v>137</v>
      </c>
      <c r="D54" s="230" t="s">
        <v>203</v>
      </c>
      <c r="E54" s="230" t="s">
        <v>140</v>
      </c>
      <c r="F54" s="230" t="s">
        <v>204</v>
      </c>
    </row>
    <row r="55" spans="2:6" ht="13.2" customHeight="1" x14ac:dyDescent="0.2">
      <c r="B55" s="231" t="s">
        <v>147</v>
      </c>
      <c r="C55" s="232" t="s">
        <v>139</v>
      </c>
      <c r="D55" s="232"/>
      <c r="E55" s="232"/>
      <c r="F55" s="232"/>
    </row>
    <row r="56" spans="2:6" ht="13.2" customHeight="1" x14ac:dyDescent="0.2">
      <c r="B56" s="231" t="s">
        <v>148</v>
      </c>
      <c r="C56" s="232" t="s">
        <v>139</v>
      </c>
      <c r="D56" s="232"/>
      <c r="E56" s="232"/>
      <c r="F56" s="232"/>
    </row>
    <row r="57" spans="2:6" ht="13.2" customHeight="1" x14ac:dyDescent="0.2">
      <c r="B57" s="231" t="s">
        <v>149</v>
      </c>
      <c r="C57" s="232" t="s">
        <v>139</v>
      </c>
      <c r="D57" s="232"/>
      <c r="E57" s="232"/>
      <c r="F57" s="232"/>
    </row>
    <row r="58" spans="2:6" ht="13.2" customHeight="1" x14ac:dyDescent="0.2">
      <c r="B58" s="231" t="s">
        <v>150</v>
      </c>
      <c r="C58" s="232" t="s">
        <v>139</v>
      </c>
      <c r="D58" s="232"/>
      <c r="E58" s="232"/>
      <c r="F58" s="232"/>
    </row>
    <row r="59" spans="2:6" ht="13.2" customHeight="1" x14ac:dyDescent="0.2">
      <c r="B59" s="231" t="s">
        <v>151</v>
      </c>
      <c r="C59" s="232" t="s">
        <v>139</v>
      </c>
      <c r="D59" s="232"/>
      <c r="E59" s="232"/>
      <c r="F59" s="232"/>
    </row>
    <row r="60" spans="2:6" ht="13.2" customHeight="1" x14ac:dyDescent="0.2">
      <c r="B60" s="231" t="s">
        <v>152</v>
      </c>
      <c r="C60" s="232" t="s">
        <v>139</v>
      </c>
      <c r="D60" s="232"/>
      <c r="E60" s="232"/>
      <c r="F60" s="232"/>
    </row>
    <row r="61" spans="2:6" ht="13.2" customHeight="1" x14ac:dyDescent="0.2">
      <c r="B61" s="231" t="s">
        <v>153</v>
      </c>
      <c r="C61" s="232" t="s">
        <v>139</v>
      </c>
      <c r="D61" s="232"/>
      <c r="E61" s="232"/>
      <c r="F61" s="232"/>
    </row>
    <row r="62" spans="2:6" ht="13.2" customHeight="1" x14ac:dyDescent="0.2">
      <c r="B62" s="231" t="s">
        <v>154</v>
      </c>
      <c r="C62" s="232" t="s">
        <v>139</v>
      </c>
      <c r="D62" s="232"/>
      <c r="E62" s="232"/>
      <c r="F62" s="232"/>
    </row>
    <row r="63" spans="2:6" ht="13.2" customHeight="1" x14ac:dyDescent="0.2">
      <c r="B63" s="231" t="s">
        <v>155</v>
      </c>
      <c r="C63" s="232" t="s">
        <v>139</v>
      </c>
      <c r="D63" s="232"/>
      <c r="E63" s="232"/>
      <c r="F63" s="232"/>
    </row>
    <row r="64" spans="2:6" ht="13.2" customHeight="1" x14ac:dyDescent="0.2">
      <c r="B64" s="231" t="s">
        <v>156</v>
      </c>
      <c r="C64" s="232" t="s">
        <v>139</v>
      </c>
      <c r="D64" s="232"/>
      <c r="E64" s="232"/>
      <c r="F64" s="232"/>
    </row>
    <row r="65" spans="2:10" ht="13.2" customHeight="1" x14ac:dyDescent="0.2">
      <c r="B65" s="231"/>
      <c r="C65" s="232"/>
      <c r="D65" s="232"/>
      <c r="E65" s="232"/>
      <c r="F65" s="232"/>
    </row>
    <row r="66" spans="2:10" ht="13.2" customHeight="1" x14ac:dyDescent="0.2">
      <c r="B66" s="233"/>
    </row>
    <row r="67" spans="2:10" x14ac:dyDescent="0.2">
      <c r="B67" s="233" t="s">
        <v>48</v>
      </c>
      <c r="G67" s="233"/>
      <c r="H67" s="233"/>
      <c r="I67" s="233"/>
      <c r="J67" s="233"/>
    </row>
    <row r="68" spans="2:10" ht="12" x14ac:dyDescent="0.25">
      <c r="B68" s="229" t="s">
        <v>136</v>
      </c>
      <c r="C68" s="230" t="s">
        <v>137</v>
      </c>
      <c r="D68" s="230" t="s">
        <v>203</v>
      </c>
      <c r="E68" s="230" t="s">
        <v>140</v>
      </c>
      <c r="F68" s="230" t="s">
        <v>204</v>
      </c>
    </row>
    <row r="69" spans="2:10" ht="13.2" customHeight="1" x14ac:dyDescent="0.2">
      <c r="B69" s="231" t="s">
        <v>157</v>
      </c>
      <c r="C69" s="232" t="s">
        <v>139</v>
      </c>
      <c r="D69" s="232"/>
      <c r="E69" s="232"/>
      <c r="F69" s="232"/>
    </row>
    <row r="70" spans="2:10" ht="13.2" customHeight="1" x14ac:dyDescent="0.2">
      <c r="B70" s="231" t="s">
        <v>158</v>
      </c>
      <c r="C70" s="232" t="s">
        <v>139</v>
      </c>
      <c r="D70" s="232"/>
      <c r="E70" s="232"/>
      <c r="F70" s="232"/>
    </row>
    <row r="71" spans="2:10" ht="13.2" customHeight="1" x14ac:dyDescent="0.2">
      <c r="B71" s="231" t="s">
        <v>159</v>
      </c>
      <c r="C71" s="232" t="s">
        <v>139</v>
      </c>
      <c r="D71" s="232"/>
      <c r="E71" s="232"/>
      <c r="F71" s="232"/>
    </row>
    <row r="72" spans="2:10" ht="13.2" customHeight="1" x14ac:dyDescent="0.2">
      <c r="B72" s="231" t="s">
        <v>160</v>
      </c>
      <c r="C72" s="232" t="s">
        <v>139</v>
      </c>
      <c r="D72" s="232"/>
      <c r="E72" s="232"/>
      <c r="F72" s="232"/>
    </row>
    <row r="73" spans="2:10" ht="13.2" customHeight="1" x14ac:dyDescent="0.2">
      <c r="B73" s="231" t="s">
        <v>161</v>
      </c>
      <c r="C73" s="232" t="s">
        <v>139</v>
      </c>
      <c r="D73" s="232"/>
      <c r="E73" s="232"/>
      <c r="F73" s="232"/>
    </row>
    <row r="74" spans="2:10" ht="13.2" customHeight="1" x14ac:dyDescent="0.25">
      <c r="B74" s="457" t="s">
        <v>49</v>
      </c>
      <c r="C74" s="458"/>
      <c r="D74" s="458"/>
      <c r="E74" s="459"/>
      <c r="F74" s="237"/>
    </row>
    <row r="75" spans="2:10" ht="13.2" customHeight="1" x14ac:dyDescent="0.2">
      <c r="B75" s="231" t="s">
        <v>162</v>
      </c>
      <c r="C75" s="232" t="s">
        <v>140</v>
      </c>
      <c r="D75" s="232"/>
      <c r="E75" s="232"/>
      <c r="F75" s="232"/>
    </row>
    <row r="76" spans="2:10" ht="13.2" customHeight="1" x14ac:dyDescent="0.2">
      <c r="B76" s="231" t="s">
        <v>163</v>
      </c>
      <c r="C76" s="232" t="s">
        <v>139</v>
      </c>
      <c r="D76" s="232"/>
      <c r="E76" s="232"/>
      <c r="F76" s="232"/>
    </row>
    <row r="77" spans="2:10" ht="13.2" customHeight="1" x14ac:dyDescent="0.2">
      <c r="B77" s="231" t="s">
        <v>164</v>
      </c>
      <c r="C77" s="232" t="s">
        <v>139</v>
      </c>
      <c r="D77" s="232"/>
      <c r="E77" s="232"/>
      <c r="F77" s="232"/>
    </row>
    <row r="78" spans="2:10" ht="13.2" customHeight="1" x14ac:dyDescent="0.2">
      <c r="B78" s="231" t="s">
        <v>165</v>
      </c>
      <c r="C78" s="232" t="s">
        <v>139</v>
      </c>
      <c r="D78" s="232"/>
      <c r="E78" s="232"/>
      <c r="F78" s="232"/>
    </row>
    <row r="79" spans="2:10" ht="13.2" customHeight="1" x14ac:dyDescent="0.2">
      <c r="B79" s="231" t="s">
        <v>166</v>
      </c>
      <c r="C79" s="232" t="s">
        <v>139</v>
      </c>
      <c r="D79" s="232"/>
      <c r="E79" s="232"/>
      <c r="F79" s="232"/>
    </row>
    <row r="80" spans="2:10" ht="13.2" customHeight="1" x14ac:dyDescent="0.2">
      <c r="B80" s="231" t="s">
        <v>167</v>
      </c>
      <c r="C80" s="232" t="s">
        <v>139</v>
      </c>
      <c r="D80" s="232"/>
      <c r="E80" s="232"/>
      <c r="F80" s="232"/>
    </row>
    <row r="81" spans="2:6" ht="13.2" customHeight="1" x14ac:dyDescent="0.2">
      <c r="B81" s="231" t="s">
        <v>168</v>
      </c>
      <c r="C81" s="232" t="s">
        <v>139</v>
      </c>
      <c r="D81" s="232"/>
      <c r="E81" s="232"/>
      <c r="F81" s="232"/>
    </row>
    <row r="82" spans="2:6" ht="13.2" customHeight="1" x14ac:dyDescent="0.2">
      <c r="B82" s="231" t="s">
        <v>169</v>
      </c>
      <c r="C82" s="232" t="s">
        <v>139</v>
      </c>
      <c r="D82" s="232"/>
      <c r="E82" s="232"/>
      <c r="F82" s="232"/>
    </row>
    <row r="83" spans="2:6" ht="13.2" customHeight="1" x14ac:dyDescent="0.2">
      <c r="B83" s="231" t="s">
        <v>170</v>
      </c>
      <c r="C83" s="232" t="s">
        <v>139</v>
      </c>
      <c r="D83" s="232"/>
      <c r="E83" s="232"/>
      <c r="F83" s="232"/>
    </row>
    <row r="84" spans="2:6" ht="13.2" customHeight="1" x14ac:dyDescent="0.2">
      <c r="B84" s="231" t="s">
        <v>171</v>
      </c>
      <c r="C84" s="232" t="s">
        <v>140</v>
      </c>
      <c r="D84" s="232"/>
      <c r="E84" s="232"/>
      <c r="F84" s="232"/>
    </row>
    <row r="85" spans="2:6" x14ac:dyDescent="0.2">
      <c r="B85" s="231" t="s">
        <v>172</v>
      </c>
      <c r="C85" s="232" t="s">
        <v>140</v>
      </c>
      <c r="D85" s="232"/>
      <c r="E85" s="232"/>
      <c r="F85" s="232"/>
    </row>
    <row r="86" spans="2:6" ht="13.2" customHeight="1" x14ac:dyDescent="0.2">
      <c r="B86" s="231" t="s">
        <v>173</v>
      </c>
      <c r="C86" s="232" t="s">
        <v>140</v>
      </c>
      <c r="D86" s="232"/>
      <c r="E86" s="232"/>
      <c r="F86" s="232"/>
    </row>
    <row r="87" spans="2:6" ht="13.2" customHeight="1" x14ac:dyDescent="0.2">
      <c r="B87" s="231" t="s">
        <v>174</v>
      </c>
      <c r="C87" s="232" t="s">
        <v>139</v>
      </c>
      <c r="D87" s="232"/>
      <c r="E87" s="232"/>
      <c r="F87" s="232"/>
    </row>
    <row r="88" spans="2:6" ht="13.2" customHeight="1" x14ac:dyDescent="0.2">
      <c r="B88" s="231" t="s">
        <v>175</v>
      </c>
      <c r="C88" s="232" t="s">
        <v>139</v>
      </c>
      <c r="D88" s="232"/>
      <c r="E88" s="232"/>
      <c r="F88" s="232"/>
    </row>
    <row r="89" spans="2:6" ht="13.2" customHeight="1" x14ac:dyDescent="0.2">
      <c r="B89" s="231" t="s">
        <v>176</v>
      </c>
      <c r="C89" s="232" t="s">
        <v>139</v>
      </c>
      <c r="D89" s="232"/>
      <c r="E89" s="232"/>
      <c r="F89" s="232"/>
    </row>
    <row r="90" spans="2:6" ht="13.2" customHeight="1" x14ac:dyDescent="0.2">
      <c r="B90" s="231" t="s">
        <v>177</v>
      </c>
      <c r="C90" s="232" t="s">
        <v>139</v>
      </c>
      <c r="D90" s="232"/>
      <c r="E90" s="232"/>
      <c r="F90" s="232"/>
    </row>
    <row r="91" spans="2:6" ht="13.2" customHeight="1" x14ac:dyDescent="0.2">
      <c r="B91" s="231" t="s">
        <v>178</v>
      </c>
      <c r="C91" s="232" t="s">
        <v>140</v>
      </c>
      <c r="D91" s="232"/>
      <c r="E91" s="232"/>
      <c r="F91" s="232"/>
    </row>
    <row r="92" spans="2:6" ht="13.2" customHeight="1" x14ac:dyDescent="0.2">
      <c r="B92" s="231" t="s">
        <v>179</v>
      </c>
      <c r="C92" s="232" t="s">
        <v>140</v>
      </c>
      <c r="D92" s="232"/>
      <c r="E92" s="232"/>
      <c r="F92" s="232"/>
    </row>
    <row r="93" spans="2:6" ht="13.2" customHeight="1" x14ac:dyDescent="0.2">
      <c r="B93" s="231" t="s">
        <v>180</v>
      </c>
      <c r="C93" s="232" t="s">
        <v>140</v>
      </c>
      <c r="D93" s="232"/>
      <c r="E93" s="232"/>
      <c r="F93" s="232"/>
    </row>
    <row r="94" spans="2:6" ht="13.2" customHeight="1" x14ac:dyDescent="0.2">
      <c r="B94" s="231" t="s">
        <v>181</v>
      </c>
      <c r="C94" s="232" t="s">
        <v>140</v>
      </c>
      <c r="D94" s="232"/>
      <c r="E94" s="232"/>
      <c r="F94" s="232"/>
    </row>
    <row r="95" spans="2:6" ht="13.2" customHeight="1" x14ac:dyDescent="0.2">
      <c r="B95" s="231" t="s">
        <v>182</v>
      </c>
      <c r="C95" s="232" t="s">
        <v>140</v>
      </c>
      <c r="D95" s="232"/>
      <c r="E95" s="232"/>
      <c r="F95" s="232"/>
    </row>
    <row r="96" spans="2:6" ht="13.2" customHeight="1" x14ac:dyDescent="0.2">
      <c r="B96" s="231" t="s">
        <v>183</v>
      </c>
      <c r="C96" s="232" t="s">
        <v>140</v>
      </c>
      <c r="D96" s="232"/>
      <c r="E96" s="232"/>
      <c r="F96" s="232"/>
    </row>
    <row r="97" spans="2:6" ht="13.2" customHeight="1" x14ac:dyDescent="0.2">
      <c r="B97" s="231" t="s">
        <v>184</v>
      </c>
      <c r="C97" s="232" t="s">
        <v>140</v>
      </c>
      <c r="D97" s="232"/>
      <c r="E97" s="232"/>
      <c r="F97" s="232"/>
    </row>
    <row r="98" spans="2:6" ht="13.2" customHeight="1" x14ac:dyDescent="0.2">
      <c r="B98" s="231" t="s">
        <v>185</v>
      </c>
      <c r="C98" s="232" t="s">
        <v>140</v>
      </c>
      <c r="D98" s="232"/>
      <c r="E98" s="232"/>
      <c r="F98" s="232"/>
    </row>
    <row r="99" spans="2:6" ht="13.2" customHeight="1" x14ac:dyDescent="0.2">
      <c r="B99" s="231" t="s">
        <v>186</v>
      </c>
      <c r="C99" s="232" t="s">
        <v>140</v>
      </c>
      <c r="D99" s="232"/>
      <c r="E99" s="232"/>
      <c r="F99" s="232"/>
    </row>
    <row r="100" spans="2:6" ht="13.2" customHeight="1" x14ac:dyDescent="0.2">
      <c r="B100" s="231" t="s">
        <v>187</v>
      </c>
      <c r="C100" s="232" t="s">
        <v>140</v>
      </c>
      <c r="D100" s="232"/>
      <c r="E100" s="232"/>
      <c r="F100" s="232"/>
    </row>
    <row r="101" spans="2:6" ht="13.2" customHeight="1" x14ac:dyDescent="0.2">
      <c r="B101" s="231" t="s">
        <v>188</v>
      </c>
      <c r="C101" s="232" t="s">
        <v>140</v>
      </c>
      <c r="D101" s="232"/>
      <c r="E101" s="232"/>
      <c r="F101" s="232"/>
    </row>
    <row r="102" spans="2:6" ht="13.2" customHeight="1" x14ac:dyDescent="0.2">
      <c r="B102" s="231" t="s">
        <v>189</v>
      </c>
      <c r="C102" s="232" t="s">
        <v>140</v>
      </c>
      <c r="D102" s="232"/>
      <c r="E102" s="232"/>
      <c r="F102" s="232"/>
    </row>
    <row r="103" spans="2:6" ht="13.2" customHeight="1" x14ac:dyDescent="0.25">
      <c r="B103" s="457" t="s">
        <v>61</v>
      </c>
      <c r="C103" s="458"/>
      <c r="D103" s="458"/>
      <c r="E103" s="459"/>
      <c r="F103" s="237"/>
    </row>
    <row r="104" spans="2:6" ht="13.2" customHeight="1" x14ac:dyDescent="0.2">
      <c r="B104" s="231" t="s">
        <v>162</v>
      </c>
      <c r="C104" s="232"/>
      <c r="D104" s="232"/>
      <c r="E104" s="232"/>
      <c r="F104" s="232"/>
    </row>
    <row r="105" spans="2:6" ht="13.2" customHeight="1" x14ac:dyDescent="0.2">
      <c r="B105" s="231" t="s">
        <v>163</v>
      </c>
      <c r="C105" s="232"/>
      <c r="D105" s="232"/>
      <c r="E105" s="232"/>
      <c r="F105" s="232"/>
    </row>
    <row r="106" spans="2:6" ht="13.2" customHeight="1" x14ac:dyDescent="0.2">
      <c r="B106" s="231" t="s">
        <v>164</v>
      </c>
      <c r="C106" s="232"/>
      <c r="D106" s="232"/>
      <c r="E106" s="232"/>
      <c r="F106" s="232"/>
    </row>
    <row r="107" spans="2:6" ht="13.2" customHeight="1" x14ac:dyDescent="0.2">
      <c r="B107" s="231" t="s">
        <v>165</v>
      </c>
      <c r="C107" s="232"/>
      <c r="D107" s="232"/>
      <c r="E107" s="232"/>
      <c r="F107" s="232"/>
    </row>
    <row r="108" spans="2:6" ht="13.2" customHeight="1" x14ac:dyDescent="0.2">
      <c r="B108" s="231" t="s">
        <v>166</v>
      </c>
      <c r="C108" s="232"/>
      <c r="D108" s="232"/>
      <c r="E108" s="232"/>
      <c r="F108" s="232"/>
    </row>
    <row r="109" spans="2:6" ht="13.2" customHeight="1" x14ac:dyDescent="0.2">
      <c r="B109" s="231" t="s">
        <v>167</v>
      </c>
      <c r="C109" s="232"/>
      <c r="D109" s="232"/>
      <c r="E109" s="232"/>
      <c r="F109" s="232"/>
    </row>
    <row r="110" spans="2:6" ht="13.2" customHeight="1" x14ac:dyDescent="0.2">
      <c r="B110" s="231" t="s">
        <v>168</v>
      </c>
      <c r="C110" s="232"/>
      <c r="D110" s="232"/>
      <c r="E110" s="232"/>
      <c r="F110" s="232"/>
    </row>
    <row r="111" spans="2:6" ht="13.2" customHeight="1" x14ac:dyDescent="0.2">
      <c r="B111" s="231" t="s">
        <v>169</v>
      </c>
      <c r="C111" s="232"/>
      <c r="D111" s="232"/>
      <c r="E111" s="232"/>
      <c r="F111" s="232"/>
    </row>
    <row r="112" spans="2:6" ht="13.2" customHeight="1" x14ac:dyDescent="0.2">
      <c r="B112" s="231" t="s">
        <v>170</v>
      </c>
      <c r="C112" s="232"/>
      <c r="D112" s="232"/>
      <c r="E112" s="232"/>
      <c r="F112" s="232"/>
    </row>
    <row r="113" spans="2:6" ht="13.2" customHeight="1" x14ac:dyDescent="0.2">
      <c r="B113" s="231" t="s">
        <v>171</v>
      </c>
      <c r="C113" s="232"/>
      <c r="D113" s="232"/>
      <c r="E113" s="232"/>
      <c r="F113" s="232"/>
    </row>
    <row r="114" spans="2:6" ht="13.2" customHeight="1" x14ac:dyDescent="0.2">
      <c r="B114" s="231" t="s">
        <v>172</v>
      </c>
      <c r="C114" s="232"/>
      <c r="D114" s="232"/>
      <c r="E114" s="232"/>
      <c r="F114" s="232"/>
    </row>
    <row r="115" spans="2:6" ht="13.2" customHeight="1" x14ac:dyDescent="0.2">
      <c r="B115" s="231" t="s">
        <v>173</v>
      </c>
      <c r="C115" s="232"/>
      <c r="D115" s="232"/>
      <c r="E115" s="232"/>
      <c r="F115" s="232"/>
    </row>
    <row r="116" spans="2:6" ht="13.2" customHeight="1" x14ac:dyDescent="0.2">
      <c r="B116" s="231" t="s">
        <v>174</v>
      </c>
      <c r="C116" s="232"/>
      <c r="D116" s="232"/>
      <c r="E116" s="232"/>
      <c r="F116" s="232"/>
    </row>
    <row r="117" spans="2:6" ht="13.2" customHeight="1" x14ac:dyDescent="0.2">
      <c r="B117" s="231" t="s">
        <v>175</v>
      </c>
      <c r="C117" s="232"/>
      <c r="D117" s="232"/>
      <c r="E117" s="232"/>
      <c r="F117" s="232"/>
    </row>
    <row r="118" spans="2:6" ht="13.2" customHeight="1" x14ac:dyDescent="0.2">
      <c r="B118" s="231" t="s">
        <v>176</v>
      </c>
      <c r="C118" s="232"/>
      <c r="D118" s="232"/>
      <c r="E118" s="232"/>
      <c r="F118" s="232"/>
    </row>
    <row r="119" spans="2:6" ht="13.2" customHeight="1" x14ac:dyDescent="0.2">
      <c r="B119" s="231" t="s">
        <v>177</v>
      </c>
      <c r="C119" s="232"/>
      <c r="D119" s="232"/>
      <c r="E119" s="232"/>
      <c r="F119" s="232"/>
    </row>
    <row r="120" spans="2:6" ht="13.2" customHeight="1" x14ac:dyDescent="0.2">
      <c r="B120" s="231" t="s">
        <v>178</v>
      </c>
      <c r="C120" s="232"/>
      <c r="D120" s="232"/>
      <c r="E120" s="232"/>
      <c r="F120" s="232"/>
    </row>
    <row r="121" spans="2:6" ht="13.2" customHeight="1" x14ac:dyDescent="0.2">
      <c r="B121" s="231" t="s">
        <v>179</v>
      </c>
      <c r="C121" s="232" t="s">
        <v>140</v>
      </c>
      <c r="D121" s="232"/>
      <c r="E121" s="232"/>
      <c r="F121" s="232"/>
    </row>
    <row r="122" spans="2:6" ht="13.2" customHeight="1" x14ac:dyDescent="0.2">
      <c r="B122" s="231" t="s">
        <v>180</v>
      </c>
      <c r="C122" s="232" t="s">
        <v>140</v>
      </c>
      <c r="D122" s="232"/>
      <c r="E122" s="232"/>
      <c r="F122" s="232"/>
    </row>
    <row r="123" spans="2:6" ht="13.2" customHeight="1" x14ac:dyDescent="0.2">
      <c r="B123" s="231" t="s">
        <v>181</v>
      </c>
      <c r="C123" s="232" t="s">
        <v>140</v>
      </c>
      <c r="D123" s="232"/>
      <c r="E123" s="232"/>
      <c r="F123" s="232"/>
    </row>
    <row r="124" spans="2:6" ht="13.2" customHeight="1" x14ac:dyDescent="0.2">
      <c r="B124" s="231" t="s">
        <v>182</v>
      </c>
      <c r="C124" s="232" t="s">
        <v>140</v>
      </c>
      <c r="D124" s="232"/>
      <c r="E124" s="232"/>
      <c r="F124" s="232"/>
    </row>
    <row r="125" spans="2:6" ht="13.2" customHeight="1" x14ac:dyDescent="0.2">
      <c r="B125" s="231" t="s">
        <v>183</v>
      </c>
      <c r="C125" s="232" t="s">
        <v>140</v>
      </c>
      <c r="D125" s="232"/>
      <c r="E125" s="232"/>
      <c r="F125" s="232"/>
    </row>
    <row r="126" spans="2:6" ht="13.2" customHeight="1" x14ac:dyDescent="0.2">
      <c r="B126" s="231" t="s">
        <v>184</v>
      </c>
      <c r="C126" s="232" t="s">
        <v>140</v>
      </c>
      <c r="D126" s="232"/>
      <c r="E126" s="232"/>
      <c r="F126" s="232"/>
    </row>
    <row r="127" spans="2:6" ht="13.2" customHeight="1" x14ac:dyDescent="0.2">
      <c r="B127" s="231" t="s">
        <v>185</v>
      </c>
      <c r="C127" s="232" t="s">
        <v>140</v>
      </c>
      <c r="D127" s="232"/>
      <c r="E127" s="232"/>
      <c r="F127" s="232"/>
    </row>
    <row r="128" spans="2:6" ht="13.2" customHeight="1" x14ac:dyDescent="0.2">
      <c r="B128" s="231" t="s">
        <v>186</v>
      </c>
      <c r="C128" s="232" t="s">
        <v>140</v>
      </c>
      <c r="D128" s="232"/>
      <c r="E128" s="232"/>
      <c r="F128" s="232"/>
    </row>
    <row r="129" spans="2:10" ht="13.2" customHeight="1" x14ac:dyDescent="0.2">
      <c r="B129" s="231" t="s">
        <v>187</v>
      </c>
      <c r="C129" s="232" t="s">
        <v>140</v>
      </c>
      <c r="D129" s="232"/>
      <c r="E129" s="232"/>
      <c r="F129" s="232"/>
    </row>
    <row r="130" spans="2:10" ht="13.2" customHeight="1" x14ac:dyDescent="0.2">
      <c r="B130" s="231" t="s">
        <v>188</v>
      </c>
      <c r="C130" s="232" t="s">
        <v>140</v>
      </c>
      <c r="D130" s="232"/>
      <c r="E130" s="232"/>
      <c r="F130" s="232"/>
    </row>
    <row r="131" spans="2:10" ht="13.2" customHeight="1" x14ac:dyDescent="0.2">
      <c r="B131" s="231" t="s">
        <v>189</v>
      </c>
      <c r="C131" s="232" t="s">
        <v>140</v>
      </c>
      <c r="D131" s="232"/>
      <c r="E131" s="232"/>
      <c r="F131" s="232"/>
    </row>
    <row r="132" spans="2:10" ht="13.2" customHeight="1" x14ac:dyDescent="0.2">
      <c r="B132" s="231"/>
      <c r="C132" s="232"/>
      <c r="D132" s="232"/>
      <c r="E132" s="232"/>
      <c r="F132" s="232"/>
    </row>
    <row r="133" spans="2:10" ht="13.2" customHeight="1" x14ac:dyDescent="0.2">
      <c r="B133" s="233"/>
    </row>
    <row r="134" spans="2:10" ht="13.2" customHeight="1" x14ac:dyDescent="0.2">
      <c r="B134" s="233"/>
    </row>
    <row r="135" spans="2:10" ht="15.6" customHeight="1" x14ac:dyDescent="0.25">
      <c r="B135" s="238" t="s">
        <v>190</v>
      </c>
    </row>
    <row r="136" spans="2:10" ht="12" thickBot="1" x14ac:dyDescent="0.25">
      <c r="B136" s="233"/>
    </row>
    <row r="137" spans="2:10" x14ac:dyDescent="0.2">
      <c r="B137" s="239" t="s">
        <v>191</v>
      </c>
      <c r="C137" s="240"/>
      <c r="D137" s="240"/>
      <c r="E137" s="240"/>
      <c r="F137" s="240"/>
      <c r="G137" s="241"/>
      <c r="H137" s="242"/>
      <c r="I137" s="233"/>
      <c r="J137" s="233"/>
    </row>
    <row r="138" spans="2:10" x14ac:dyDescent="0.2">
      <c r="B138" s="243" t="s">
        <v>192</v>
      </c>
      <c r="G138" s="233"/>
      <c r="H138" s="244"/>
      <c r="I138" s="233"/>
      <c r="J138" s="233"/>
    </row>
    <row r="139" spans="2:10" x14ac:dyDescent="0.2">
      <c r="B139" s="243" t="s">
        <v>91</v>
      </c>
      <c r="H139" s="245"/>
    </row>
    <row r="140" spans="2:10" x14ac:dyDescent="0.2">
      <c r="B140" s="243" t="s">
        <v>103</v>
      </c>
      <c r="H140" s="245"/>
    </row>
    <row r="141" spans="2:10" x14ac:dyDescent="0.2">
      <c r="B141" s="243" t="s">
        <v>104</v>
      </c>
      <c r="H141" s="245"/>
    </row>
    <row r="142" spans="2:10" x14ac:dyDescent="0.2">
      <c r="B142" s="243" t="s">
        <v>193</v>
      </c>
      <c r="H142" s="245"/>
    </row>
    <row r="143" spans="2:10" x14ac:dyDescent="0.2">
      <c r="B143" s="246" t="s">
        <v>194</v>
      </c>
      <c r="H143" s="245"/>
    </row>
    <row r="144" spans="2:10" x14ac:dyDescent="0.2">
      <c r="B144" s="246" t="s">
        <v>195</v>
      </c>
      <c r="H144" s="245"/>
    </row>
    <row r="145" spans="2:8" x14ac:dyDescent="0.2">
      <c r="B145" s="243" t="s">
        <v>196</v>
      </c>
      <c r="H145" s="245"/>
    </row>
    <row r="146" spans="2:8" x14ac:dyDescent="0.2">
      <c r="B146" s="243" t="s">
        <v>197</v>
      </c>
      <c r="H146" s="245"/>
    </row>
    <row r="147" spans="2:8" x14ac:dyDescent="0.2">
      <c r="B147" s="243" t="s">
        <v>198</v>
      </c>
      <c r="H147" s="245"/>
    </row>
    <row r="148" spans="2:8" ht="14.4" customHeight="1" thickBot="1" x14ac:dyDescent="0.25">
      <c r="B148" s="247" t="s">
        <v>199</v>
      </c>
      <c r="C148" s="248"/>
      <c r="D148" s="248"/>
      <c r="E148" s="248"/>
      <c r="F148" s="248"/>
      <c r="G148" s="249"/>
      <c r="H148" s="250"/>
    </row>
  </sheetData>
  <mergeCells count="2">
    <mergeCell ref="B74:E74"/>
    <mergeCell ref="B103:E103"/>
  </mergeCells>
  <dataValidations count="1">
    <dataValidation type="list" allowBlank="1" showInputMessage="1" showErrorMessage="1" sqref="C23:C39 C43:C52 C55:C66 C69:C73 C75:C102 C104:C136 C6:C19" xr:uid="{00000000-0002-0000-0100-000000000000}">
      <formula1>"Data, Formula"</formula1>
    </dataValidation>
  </dataValidation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2E671-553D-4BCE-920C-1E62994C5D9F}">
  <dimension ref="A1:BE80"/>
  <sheetViews>
    <sheetView showGridLines="0" workbookViewId="0"/>
  </sheetViews>
  <sheetFormatPr defaultColWidth="9.44140625" defaultRowHeight="13.2" x14ac:dyDescent="0.3"/>
  <cols>
    <col min="1" max="1" width="6.44140625" style="145" customWidth="1"/>
    <col min="2" max="2" width="11.44140625" style="145" customWidth="1"/>
    <col min="3" max="3" width="3.44140625" style="145" customWidth="1"/>
    <col min="4" max="4" width="9.44140625" style="145"/>
    <col min="5" max="5" width="14.44140625" style="145" customWidth="1"/>
    <col min="6" max="6" width="13.44140625" style="145" customWidth="1"/>
    <col min="7" max="7" width="27.44140625" style="145" customWidth="1"/>
    <col min="8" max="8" width="9" style="145" customWidth="1"/>
    <col min="9" max="10" width="10.44140625" style="145" customWidth="1"/>
    <col min="11" max="11" width="4.44140625" style="145" customWidth="1"/>
    <col min="12" max="12" width="14.44140625" style="145" customWidth="1"/>
    <col min="13" max="13" width="33.44140625" style="145" customWidth="1"/>
    <col min="14" max="16" width="12.44140625" style="145" customWidth="1"/>
    <col min="17" max="17" width="13.44140625" style="145" customWidth="1"/>
    <col min="18" max="18" width="9.44140625" style="145"/>
    <col min="19" max="19" width="13.44140625" style="145" customWidth="1"/>
    <col min="20" max="20" width="11.44140625" style="145" customWidth="1"/>
    <col min="21" max="21" width="13.44140625" style="145" customWidth="1"/>
    <col min="22" max="22" width="11.44140625" style="145" customWidth="1"/>
    <col min="23" max="23" width="13.44140625" style="145" customWidth="1"/>
    <col min="24" max="24" width="11.44140625" style="145" customWidth="1"/>
    <col min="25" max="25" width="13.44140625" style="145" customWidth="1"/>
    <col min="26" max="26" width="12.44140625" style="145" customWidth="1"/>
    <col min="27" max="35" width="13.44140625" style="145" customWidth="1"/>
    <col min="36" max="36" width="5.44140625" style="145" customWidth="1"/>
    <col min="37" max="39" width="9.44140625" style="145"/>
    <col min="40" max="40" width="13.44140625" style="145" customWidth="1"/>
    <col min="41" max="41" width="9.44140625" style="145"/>
    <col min="42" max="42" width="20.44140625" style="145" customWidth="1"/>
    <col min="43" max="16384" width="9.44140625" style="145"/>
  </cols>
  <sheetData>
    <row r="1" spans="1:57" s="168" customFormat="1" ht="39.6" x14ac:dyDescent="0.3">
      <c r="B1" s="151" t="s">
        <v>453</v>
      </c>
      <c r="C1" s="150"/>
      <c r="D1" s="149" t="s">
        <v>440</v>
      </c>
      <c r="E1" s="151" t="s">
        <v>452</v>
      </c>
      <c r="F1" s="149" t="s">
        <v>252</v>
      </c>
      <c r="G1" s="151" t="s">
        <v>241</v>
      </c>
      <c r="H1" s="151" t="s">
        <v>451</v>
      </c>
      <c r="I1" s="149" t="s">
        <v>450</v>
      </c>
      <c r="J1" s="151" t="s">
        <v>449</v>
      </c>
      <c r="K1" s="148"/>
      <c r="L1" s="174"/>
      <c r="M1" s="471" t="s">
        <v>448</v>
      </c>
      <c r="N1" s="472"/>
      <c r="O1" s="473" t="s">
        <v>447</v>
      </c>
      <c r="P1" s="474"/>
      <c r="Q1" s="471" t="s">
        <v>446</v>
      </c>
      <c r="R1" s="472"/>
      <c r="S1" s="473" t="s">
        <v>445</v>
      </c>
      <c r="T1" s="474"/>
      <c r="U1" s="471" t="s">
        <v>444</v>
      </c>
      <c r="V1" s="472"/>
      <c r="W1" s="473" t="s">
        <v>443</v>
      </c>
      <c r="X1" s="474"/>
      <c r="Y1" s="471" t="s">
        <v>442</v>
      </c>
      <c r="Z1" s="472"/>
      <c r="AA1" s="473" t="s">
        <v>441</v>
      </c>
      <c r="AB1" s="474"/>
      <c r="AC1" s="173"/>
      <c r="AD1" s="173"/>
      <c r="AE1" s="173"/>
      <c r="AF1" s="173"/>
      <c r="AG1" s="173"/>
      <c r="AH1" s="173"/>
      <c r="AI1" s="173"/>
      <c r="AJ1" s="173"/>
      <c r="AS1" s="172" t="s">
        <v>440</v>
      </c>
      <c r="AT1" s="172"/>
      <c r="AU1" s="171" t="s">
        <v>439</v>
      </c>
      <c r="AV1" s="170"/>
      <c r="AW1" s="171" t="s">
        <v>438</v>
      </c>
      <c r="AX1" s="170"/>
      <c r="AY1" s="171" t="s">
        <v>36</v>
      </c>
      <c r="AZ1" s="170"/>
      <c r="BA1" s="171" t="s">
        <v>37</v>
      </c>
      <c r="BB1" s="170"/>
      <c r="BE1" s="169"/>
    </row>
    <row r="2" spans="1:57" x14ac:dyDescent="0.3">
      <c r="A2" s="145" t="s">
        <v>437</v>
      </c>
      <c r="B2" s="145" t="s">
        <v>436</v>
      </c>
      <c r="C2" s="164" t="s">
        <v>435</v>
      </c>
      <c r="D2" s="145" t="s">
        <v>299</v>
      </c>
      <c r="E2" s="146" t="s">
        <v>434</v>
      </c>
      <c r="F2" s="145" t="s">
        <v>433</v>
      </c>
      <c r="G2" s="145" t="s">
        <v>432</v>
      </c>
      <c r="H2" s="153">
        <v>1</v>
      </c>
      <c r="I2" s="145" t="s">
        <v>431</v>
      </c>
      <c r="J2" s="145" t="s">
        <v>430</v>
      </c>
      <c r="L2" s="145">
        <v>1</v>
      </c>
      <c r="M2" s="158" t="s">
        <v>406</v>
      </c>
      <c r="N2" s="157" t="s">
        <v>299</v>
      </c>
      <c r="O2" s="158" t="s">
        <v>406</v>
      </c>
      <c r="P2" s="157" t="s">
        <v>299</v>
      </c>
      <c r="Q2" s="158" t="s">
        <v>406</v>
      </c>
      <c r="R2" s="157" t="s">
        <v>299</v>
      </c>
      <c r="S2" s="158" t="s">
        <v>429</v>
      </c>
      <c r="T2" s="157" t="s">
        <v>299</v>
      </c>
      <c r="U2" s="158" t="s">
        <v>428</v>
      </c>
      <c r="V2" s="157" t="s">
        <v>299</v>
      </c>
      <c r="W2" s="158" t="s">
        <v>427</v>
      </c>
      <c r="X2" s="157" t="s">
        <v>299</v>
      </c>
      <c r="Y2" s="158" t="s">
        <v>348</v>
      </c>
      <c r="Z2" s="157" t="s">
        <v>299</v>
      </c>
      <c r="AA2" s="158" t="s">
        <v>426</v>
      </c>
      <c r="AB2" s="157" t="s">
        <v>299</v>
      </c>
      <c r="AL2" s="475" t="s">
        <v>425</v>
      </c>
      <c r="AM2" s="476"/>
      <c r="AN2" s="476"/>
      <c r="AO2" s="476"/>
      <c r="AP2" s="477"/>
      <c r="AQ2" s="167"/>
      <c r="AS2" s="145" t="s">
        <v>424</v>
      </c>
      <c r="AT2" s="145" t="s">
        <v>38</v>
      </c>
      <c r="AU2" s="145" t="s">
        <v>423</v>
      </c>
      <c r="AV2" s="145" t="s">
        <v>422</v>
      </c>
      <c r="AW2" s="145" t="s">
        <v>421</v>
      </c>
      <c r="AX2" s="145" t="s">
        <v>420</v>
      </c>
      <c r="AY2" s="145" t="s">
        <v>419</v>
      </c>
      <c r="AZ2" s="145" t="s">
        <v>418</v>
      </c>
      <c r="BA2" s="145" t="s">
        <v>417</v>
      </c>
      <c r="BB2" s="145" t="s">
        <v>416</v>
      </c>
    </row>
    <row r="3" spans="1:57" ht="15" customHeight="1" x14ac:dyDescent="0.3">
      <c r="A3" s="145" t="s">
        <v>415</v>
      </c>
      <c r="B3" s="145" t="s">
        <v>414</v>
      </c>
      <c r="C3" s="164" t="s">
        <v>413</v>
      </c>
      <c r="D3" s="145" t="s">
        <v>340</v>
      </c>
      <c r="E3" s="146" t="s">
        <v>412</v>
      </c>
      <c r="F3" s="145" t="s">
        <v>411</v>
      </c>
      <c r="G3" s="145" t="s">
        <v>410</v>
      </c>
      <c r="H3" s="153">
        <v>0</v>
      </c>
      <c r="I3" s="145" t="s">
        <v>409</v>
      </c>
      <c r="J3" s="145" t="s">
        <v>408</v>
      </c>
      <c r="L3" s="145">
        <v>2</v>
      </c>
      <c r="M3" s="158" t="s">
        <v>364</v>
      </c>
      <c r="N3" s="157" t="s">
        <v>340</v>
      </c>
      <c r="O3" s="158" t="s">
        <v>364</v>
      </c>
      <c r="P3" s="157" t="s">
        <v>340</v>
      </c>
      <c r="Q3" s="158" t="s">
        <v>364</v>
      </c>
      <c r="R3" s="157" t="s">
        <v>340</v>
      </c>
      <c r="S3" s="158" t="s">
        <v>407</v>
      </c>
      <c r="T3" s="157" t="s">
        <v>299</v>
      </c>
      <c r="U3" s="158" t="s">
        <v>406</v>
      </c>
      <c r="V3" s="157" t="s">
        <v>299</v>
      </c>
      <c r="W3" s="158" t="s">
        <v>405</v>
      </c>
      <c r="X3" s="157" t="s">
        <v>340</v>
      </c>
      <c r="Y3" s="158" t="s">
        <v>404</v>
      </c>
      <c r="Z3" s="157" t="s">
        <v>340</v>
      </c>
      <c r="AA3" s="158" t="s">
        <v>403</v>
      </c>
      <c r="AB3" s="157" t="s">
        <v>299</v>
      </c>
      <c r="AL3" s="478" t="s">
        <v>402</v>
      </c>
      <c r="AM3" s="479"/>
      <c r="AN3" s="479"/>
      <c r="AO3" s="480"/>
      <c r="AP3" s="166" t="s">
        <v>242</v>
      </c>
      <c r="AQ3" s="165" t="s">
        <v>401</v>
      </c>
      <c r="AS3" s="145" t="s">
        <v>400</v>
      </c>
      <c r="AT3" s="145" t="s">
        <v>398</v>
      </c>
      <c r="AU3" s="145" t="s">
        <v>399</v>
      </c>
      <c r="AV3" s="145" t="s">
        <v>398</v>
      </c>
      <c r="AW3" s="145" t="s">
        <v>397</v>
      </c>
      <c r="AX3" s="145" t="s">
        <v>299</v>
      </c>
      <c r="AY3" s="145" t="s">
        <v>396</v>
      </c>
      <c r="AZ3" s="145" t="s">
        <v>299</v>
      </c>
      <c r="BA3" s="145" t="s">
        <v>395</v>
      </c>
      <c r="BB3" s="145" t="s">
        <v>299</v>
      </c>
    </row>
    <row r="4" spans="1:57" x14ac:dyDescent="0.3">
      <c r="A4" s="145" t="s">
        <v>394</v>
      </c>
      <c r="B4" s="145" t="s">
        <v>393</v>
      </c>
      <c r="C4" s="164" t="s">
        <v>392</v>
      </c>
      <c r="D4" s="145" t="s">
        <v>308</v>
      </c>
      <c r="E4" s="146" t="s">
        <v>391</v>
      </c>
      <c r="F4" s="145" t="s">
        <v>390</v>
      </c>
      <c r="G4" s="145" t="s">
        <v>389</v>
      </c>
      <c r="H4" s="153">
        <v>1</v>
      </c>
      <c r="I4" s="145" t="s">
        <v>388</v>
      </c>
      <c r="J4" s="145" t="s">
        <v>387</v>
      </c>
      <c r="L4" s="145">
        <v>3</v>
      </c>
      <c r="M4" s="158" t="s">
        <v>386</v>
      </c>
      <c r="N4" s="157" t="s">
        <v>299</v>
      </c>
      <c r="O4" s="158" t="s">
        <v>385</v>
      </c>
      <c r="P4" s="157" t="s">
        <v>299</v>
      </c>
      <c r="Q4" s="158" t="s">
        <v>384</v>
      </c>
      <c r="R4" s="157" t="s">
        <v>299</v>
      </c>
      <c r="S4" s="158" t="s">
        <v>383</v>
      </c>
      <c r="T4" s="157" t="s">
        <v>299</v>
      </c>
      <c r="U4" s="158" t="s">
        <v>364</v>
      </c>
      <c r="V4" s="157" t="s">
        <v>340</v>
      </c>
      <c r="W4" s="158" t="s">
        <v>382</v>
      </c>
      <c r="X4" s="157" t="s">
        <v>340</v>
      </c>
      <c r="Y4" s="158" t="s">
        <v>381</v>
      </c>
      <c r="Z4" s="157" t="s">
        <v>308</v>
      </c>
      <c r="AA4" s="158" t="s">
        <v>380</v>
      </c>
      <c r="AB4" s="157" t="s">
        <v>340</v>
      </c>
      <c r="AL4" s="481" t="s">
        <v>107</v>
      </c>
      <c r="AM4" s="482"/>
      <c r="AN4" s="482"/>
      <c r="AO4" s="483"/>
      <c r="AP4" s="163">
        <v>50</v>
      </c>
      <c r="AQ4" s="460" t="s">
        <v>454</v>
      </c>
      <c r="AS4" s="145" t="s">
        <v>379</v>
      </c>
      <c r="AT4" s="145" t="s">
        <v>377</v>
      </c>
      <c r="AU4" s="145" t="s">
        <v>378</v>
      </c>
      <c r="AV4" s="145" t="s">
        <v>377</v>
      </c>
      <c r="AW4" s="145" t="s">
        <v>376</v>
      </c>
      <c r="AX4" s="145" t="s">
        <v>340</v>
      </c>
      <c r="AY4" s="145" t="s">
        <v>375</v>
      </c>
      <c r="AZ4" s="145" t="s">
        <v>340</v>
      </c>
      <c r="BA4" s="145" t="s">
        <v>374</v>
      </c>
      <c r="BB4" s="145" t="s">
        <v>340</v>
      </c>
    </row>
    <row r="5" spans="1:57" x14ac:dyDescent="0.3">
      <c r="A5" s="145" t="s">
        <v>373</v>
      </c>
      <c r="B5" s="145" t="s">
        <v>372</v>
      </c>
      <c r="D5" s="152"/>
      <c r="E5" s="146" t="s">
        <v>371</v>
      </c>
      <c r="F5" s="145" t="s">
        <v>370</v>
      </c>
      <c r="G5" s="145" t="s">
        <v>369</v>
      </c>
      <c r="H5" s="153">
        <v>0.7</v>
      </c>
      <c r="I5" s="145" t="s">
        <v>342</v>
      </c>
      <c r="J5" s="145" t="s">
        <v>368</v>
      </c>
      <c r="L5" s="145">
        <v>4</v>
      </c>
      <c r="M5" s="158" t="s">
        <v>367</v>
      </c>
      <c r="N5" s="157" t="s">
        <v>299</v>
      </c>
      <c r="O5" s="158" t="s">
        <v>366</v>
      </c>
      <c r="P5" s="157" t="s">
        <v>299</v>
      </c>
      <c r="Q5" s="158" t="s">
        <v>365</v>
      </c>
      <c r="R5" s="157" t="s">
        <v>299</v>
      </c>
      <c r="S5" s="158" t="s">
        <v>364</v>
      </c>
      <c r="T5" s="157" t="s">
        <v>340</v>
      </c>
      <c r="U5" s="158" t="s">
        <v>363</v>
      </c>
      <c r="V5" s="157" t="s">
        <v>299</v>
      </c>
      <c r="W5" s="158" t="s">
        <v>362</v>
      </c>
      <c r="X5" s="157" t="s">
        <v>308</v>
      </c>
      <c r="Y5" s="158" t="s">
        <v>361</v>
      </c>
      <c r="Z5" s="157" t="s">
        <v>299</v>
      </c>
      <c r="AA5" s="158" t="s">
        <v>360</v>
      </c>
      <c r="AB5" s="157" t="s">
        <v>340</v>
      </c>
      <c r="AL5" s="463" t="s">
        <v>118</v>
      </c>
      <c r="AM5" s="464"/>
      <c r="AN5" s="464"/>
      <c r="AO5" s="465"/>
      <c r="AP5" s="162">
        <v>25</v>
      </c>
      <c r="AQ5" s="461"/>
      <c r="AS5" s="145" t="s">
        <v>359</v>
      </c>
      <c r="AT5" s="145" t="s">
        <v>357</v>
      </c>
      <c r="AU5" s="145" t="s">
        <v>358</v>
      </c>
      <c r="AV5" s="145" t="s">
        <v>357</v>
      </c>
      <c r="AW5" s="145" t="s">
        <v>356</v>
      </c>
      <c r="AX5" s="145" t="s">
        <v>308</v>
      </c>
      <c r="AY5" s="145" t="s">
        <v>355</v>
      </c>
      <c r="AZ5" s="145" t="s">
        <v>308</v>
      </c>
      <c r="BA5" s="145" t="s">
        <v>354</v>
      </c>
      <c r="BB5" s="145" t="s">
        <v>308</v>
      </c>
    </row>
    <row r="6" spans="1:57" x14ac:dyDescent="0.3">
      <c r="A6" s="145" t="s">
        <v>353</v>
      </c>
      <c r="B6" s="145" t="s">
        <v>352</v>
      </c>
      <c r="E6" s="146" t="s">
        <v>351</v>
      </c>
      <c r="F6" s="152" t="s">
        <v>350</v>
      </c>
      <c r="G6" s="145" t="s">
        <v>349</v>
      </c>
      <c r="H6" s="153">
        <v>0.7</v>
      </c>
      <c r="I6" s="145" t="s">
        <v>348</v>
      </c>
      <c r="J6" s="152" t="s">
        <v>347</v>
      </c>
      <c r="K6" s="152"/>
      <c r="L6" s="145">
        <v>5</v>
      </c>
      <c r="M6" s="158" t="s">
        <v>346</v>
      </c>
      <c r="N6" s="157" t="s">
        <v>340</v>
      </c>
      <c r="O6" s="158" t="s">
        <v>345</v>
      </c>
      <c r="P6" s="157" t="s">
        <v>340</v>
      </c>
      <c r="Q6" s="158" t="s">
        <v>344</v>
      </c>
      <c r="R6" s="157" t="s">
        <v>340</v>
      </c>
      <c r="S6" s="158" t="s">
        <v>343</v>
      </c>
      <c r="T6" s="157" t="s">
        <v>340</v>
      </c>
      <c r="U6" s="158" t="s">
        <v>342</v>
      </c>
      <c r="V6" s="157" t="s">
        <v>308</v>
      </c>
      <c r="W6" s="158"/>
      <c r="X6" s="157"/>
      <c r="Y6" s="158" t="s">
        <v>341</v>
      </c>
      <c r="Z6" s="157" t="s">
        <v>340</v>
      </c>
      <c r="AA6" s="158"/>
      <c r="AB6" s="157"/>
      <c r="AL6" s="466" t="s">
        <v>339</v>
      </c>
      <c r="AM6" s="467"/>
      <c r="AN6" s="467"/>
      <c r="AO6" s="468"/>
      <c r="AP6" s="161">
        <v>25</v>
      </c>
      <c r="AQ6" s="461"/>
      <c r="AW6" s="145" t="s">
        <v>338</v>
      </c>
    </row>
    <row r="7" spans="1:57" ht="13.5" customHeight="1" x14ac:dyDescent="0.3">
      <c r="A7" s="145" t="s">
        <v>337</v>
      </c>
      <c r="B7" s="145" t="s">
        <v>336</v>
      </c>
      <c r="E7" s="146" t="s">
        <v>335</v>
      </c>
      <c r="F7" s="152"/>
      <c r="G7" s="145" t="s">
        <v>334</v>
      </c>
      <c r="H7" s="153">
        <v>0</v>
      </c>
      <c r="I7" s="152"/>
      <c r="J7" s="152" t="s">
        <v>333</v>
      </c>
      <c r="K7" s="152"/>
      <c r="L7" s="145">
        <v>6</v>
      </c>
      <c r="M7" s="158" t="s">
        <v>332</v>
      </c>
      <c r="N7" s="157" t="s">
        <v>299</v>
      </c>
      <c r="O7" s="158" t="s">
        <v>331</v>
      </c>
      <c r="P7" s="157" t="s">
        <v>299</v>
      </c>
      <c r="Q7" s="158" t="s">
        <v>330</v>
      </c>
      <c r="R7" s="157" t="s">
        <v>299</v>
      </c>
      <c r="S7" s="158" t="s">
        <v>329</v>
      </c>
      <c r="T7" s="157" t="s">
        <v>308</v>
      </c>
      <c r="U7" s="158" t="s">
        <v>328</v>
      </c>
      <c r="V7" s="157" t="s">
        <v>299</v>
      </c>
      <c r="W7" s="158"/>
      <c r="X7" s="157"/>
      <c r="Y7" s="158" t="s">
        <v>327</v>
      </c>
      <c r="Z7" s="157" t="s">
        <v>308</v>
      </c>
      <c r="AA7" s="158"/>
      <c r="AB7" s="157"/>
      <c r="AL7" s="469" t="s">
        <v>326</v>
      </c>
      <c r="AM7" s="470"/>
      <c r="AN7" s="470"/>
      <c r="AO7" s="160" t="s">
        <v>455</v>
      </c>
      <c r="AP7" s="159"/>
      <c r="AQ7" s="462"/>
      <c r="AW7" s="145" t="s">
        <v>325</v>
      </c>
    </row>
    <row r="8" spans="1:57" x14ac:dyDescent="0.3">
      <c r="A8" s="145" t="s">
        <v>324</v>
      </c>
      <c r="B8" s="145" t="s">
        <v>323</v>
      </c>
      <c r="E8" s="146" t="s">
        <v>322</v>
      </c>
      <c r="F8" s="152"/>
      <c r="G8" s="145" t="s">
        <v>321</v>
      </c>
      <c r="H8" s="153">
        <v>0.7</v>
      </c>
      <c r="I8" s="152"/>
      <c r="J8" s="152"/>
      <c r="K8" s="152"/>
      <c r="L8" s="145">
        <v>7</v>
      </c>
      <c r="M8" s="158" t="s">
        <v>320</v>
      </c>
      <c r="N8" s="157" t="s">
        <v>308</v>
      </c>
      <c r="O8" s="158" t="s">
        <v>319</v>
      </c>
      <c r="P8" s="157" t="s">
        <v>308</v>
      </c>
      <c r="Q8" s="158" t="s">
        <v>318</v>
      </c>
      <c r="R8" s="157" t="s">
        <v>308</v>
      </c>
      <c r="S8" s="158" t="s">
        <v>317</v>
      </c>
      <c r="T8" s="157" t="s">
        <v>308</v>
      </c>
      <c r="U8" s="158"/>
      <c r="V8" s="157"/>
      <c r="W8" s="158"/>
      <c r="X8" s="157"/>
      <c r="Y8" s="158"/>
      <c r="Z8" s="157"/>
      <c r="AA8" s="158"/>
      <c r="AB8" s="157"/>
      <c r="AW8" s="145" t="s">
        <v>316</v>
      </c>
    </row>
    <row r="9" spans="1:57" x14ac:dyDescent="0.3">
      <c r="A9" s="145" t="s">
        <v>315</v>
      </c>
      <c r="B9" s="145" t="s">
        <v>314</v>
      </c>
      <c r="E9" s="146" t="s">
        <v>313</v>
      </c>
      <c r="G9" s="145" t="s">
        <v>312</v>
      </c>
      <c r="H9" s="153">
        <v>0.7</v>
      </c>
      <c r="I9" s="152"/>
      <c r="J9" s="152"/>
      <c r="L9" s="145">
        <v>8</v>
      </c>
      <c r="M9" s="158" t="s">
        <v>311</v>
      </c>
      <c r="N9" s="157" t="s">
        <v>308</v>
      </c>
      <c r="O9" s="158" t="s">
        <v>310</v>
      </c>
      <c r="P9" s="157" t="s">
        <v>308</v>
      </c>
      <c r="Q9" s="158" t="s">
        <v>309</v>
      </c>
      <c r="R9" s="157" t="s">
        <v>308</v>
      </c>
      <c r="S9" s="158" t="s">
        <v>307</v>
      </c>
      <c r="T9" s="157" t="s">
        <v>299</v>
      </c>
      <c r="U9" s="158"/>
      <c r="V9" s="157"/>
      <c r="W9" s="158"/>
      <c r="X9" s="157"/>
      <c r="Y9" s="158"/>
      <c r="Z9" s="157"/>
      <c r="AA9" s="158"/>
      <c r="AB9" s="157"/>
    </row>
    <row r="10" spans="1:57" x14ac:dyDescent="0.3">
      <c r="A10" s="145" t="s">
        <v>306</v>
      </c>
      <c r="B10" s="145" t="s">
        <v>305</v>
      </c>
      <c r="E10" s="146" t="s">
        <v>304</v>
      </c>
      <c r="G10" s="145" t="s">
        <v>303</v>
      </c>
      <c r="H10" s="153">
        <v>0</v>
      </c>
      <c r="J10" s="152"/>
      <c r="L10" s="145">
        <v>9</v>
      </c>
      <c r="M10" s="156" t="s">
        <v>302</v>
      </c>
      <c r="N10" s="155" t="s">
        <v>299</v>
      </c>
      <c r="O10" s="156" t="s">
        <v>301</v>
      </c>
      <c r="P10" s="155" t="s">
        <v>299</v>
      </c>
      <c r="Q10" s="156" t="s">
        <v>300</v>
      </c>
      <c r="R10" s="155" t="s">
        <v>299</v>
      </c>
      <c r="S10" s="156"/>
      <c r="T10" s="155"/>
      <c r="U10" s="156"/>
      <c r="V10" s="155"/>
      <c r="W10" s="156"/>
      <c r="X10" s="155"/>
      <c r="Y10" s="156"/>
      <c r="Z10" s="155"/>
      <c r="AA10" s="156"/>
      <c r="AB10" s="155"/>
    </row>
    <row r="11" spans="1:57" x14ac:dyDescent="0.3">
      <c r="A11" s="145" t="s">
        <v>298</v>
      </c>
      <c r="B11" s="145" t="s">
        <v>297</v>
      </c>
      <c r="E11" s="146" t="s">
        <v>296</v>
      </c>
      <c r="G11" s="145" t="s">
        <v>295</v>
      </c>
      <c r="H11" s="153">
        <v>0</v>
      </c>
      <c r="K11" s="145" t="s">
        <v>16</v>
      </c>
      <c r="M11" s="154"/>
    </row>
    <row r="12" spans="1:57" x14ac:dyDescent="0.3">
      <c r="A12" s="145" t="s">
        <v>294</v>
      </c>
      <c r="B12" s="145" t="s">
        <v>293</v>
      </c>
      <c r="E12" s="146" t="s">
        <v>292</v>
      </c>
      <c r="G12" s="145" t="s">
        <v>291</v>
      </c>
      <c r="H12" s="153">
        <v>1</v>
      </c>
    </row>
    <row r="13" spans="1:57" x14ac:dyDescent="0.3">
      <c r="A13" s="152" t="s">
        <v>290</v>
      </c>
      <c r="B13" s="152" t="s">
        <v>290</v>
      </c>
      <c r="C13" s="152"/>
      <c r="E13" s="146" t="s">
        <v>289</v>
      </c>
      <c r="G13" s="152"/>
      <c r="H13" s="152"/>
    </row>
    <row r="14" spans="1:57" x14ac:dyDescent="0.3">
      <c r="A14" s="152" t="s">
        <v>288</v>
      </c>
      <c r="B14" s="152" t="s">
        <v>287</v>
      </c>
      <c r="C14" s="152"/>
      <c r="E14" s="146" t="s">
        <v>286</v>
      </c>
      <c r="G14" s="152"/>
      <c r="H14" s="152"/>
    </row>
    <row r="15" spans="1:57" x14ac:dyDescent="0.3">
      <c r="A15" s="152"/>
      <c r="B15" s="152"/>
      <c r="C15" s="152"/>
      <c r="E15" s="146" t="s">
        <v>285</v>
      </c>
      <c r="G15" s="152"/>
      <c r="H15" s="152"/>
    </row>
    <row r="16" spans="1:57" x14ac:dyDescent="0.3">
      <c r="E16" s="146" t="s">
        <v>284</v>
      </c>
    </row>
    <row r="17" spans="2:6" x14ac:dyDescent="0.3">
      <c r="E17" s="146" t="s">
        <v>283</v>
      </c>
    </row>
    <row r="18" spans="2:6" x14ac:dyDescent="0.3">
      <c r="E18" s="146" t="s">
        <v>282</v>
      </c>
    </row>
    <row r="19" spans="2:6" x14ac:dyDescent="0.3">
      <c r="E19" s="146" t="s">
        <v>281</v>
      </c>
    </row>
    <row r="20" spans="2:6" x14ac:dyDescent="0.3">
      <c r="E20" s="146" t="s">
        <v>280</v>
      </c>
    </row>
    <row r="21" spans="2:6" x14ac:dyDescent="0.3">
      <c r="E21" s="146" t="s">
        <v>279</v>
      </c>
    </row>
    <row r="22" spans="2:6" x14ac:dyDescent="0.3">
      <c r="E22" s="152"/>
    </row>
    <row r="23" spans="2:6" x14ac:dyDescent="0.3">
      <c r="E23" s="152"/>
    </row>
    <row r="24" spans="2:6" x14ac:dyDescent="0.3">
      <c r="B24" s="151" t="s">
        <v>278</v>
      </c>
      <c r="C24" s="150"/>
      <c r="D24" s="149" t="s">
        <v>277</v>
      </c>
      <c r="E24" s="148"/>
      <c r="F24" s="147"/>
    </row>
    <row r="25" spans="2:6" x14ac:dyDescent="0.3">
      <c r="B25" s="145" t="s">
        <v>276</v>
      </c>
      <c r="D25" s="145" t="s">
        <v>275</v>
      </c>
    </row>
    <row r="26" spans="2:6" x14ac:dyDescent="0.3">
      <c r="B26" s="145" t="s">
        <v>274</v>
      </c>
      <c r="D26" s="145" t="s">
        <v>273</v>
      </c>
    </row>
    <row r="27" spans="2:6" x14ac:dyDescent="0.3">
      <c r="B27" s="145" t="s">
        <v>272</v>
      </c>
      <c r="D27" s="145" t="s">
        <v>271</v>
      </c>
    </row>
    <row r="28" spans="2:6" x14ac:dyDescent="0.3">
      <c r="B28" s="145" t="s">
        <v>270</v>
      </c>
      <c r="D28" s="145" t="s">
        <v>269</v>
      </c>
    </row>
    <row r="42" spans="5:5" x14ac:dyDescent="0.3">
      <c r="E42" s="146"/>
    </row>
    <row r="43" spans="5:5" x14ac:dyDescent="0.3">
      <c r="E43" s="146"/>
    </row>
    <row r="44" spans="5:5" x14ac:dyDescent="0.3">
      <c r="E44" s="146"/>
    </row>
    <row r="80" spans="8:8" x14ac:dyDescent="0.3">
      <c r="H80" s="145" t="s">
        <v>268</v>
      </c>
    </row>
  </sheetData>
  <mergeCells count="15">
    <mergeCell ref="AQ4:AQ7"/>
    <mergeCell ref="AL5:AO5"/>
    <mergeCell ref="AL6:AO6"/>
    <mergeCell ref="AL7:AN7"/>
    <mergeCell ref="M1:N1"/>
    <mergeCell ref="O1:P1"/>
    <mergeCell ref="Q1:R1"/>
    <mergeCell ref="S1:T1"/>
    <mergeCell ref="U1:V1"/>
    <mergeCell ref="W1:X1"/>
    <mergeCell ref="Y1:Z1"/>
    <mergeCell ref="AA1:AB1"/>
    <mergeCell ref="AL2:AP2"/>
    <mergeCell ref="AL3:AO3"/>
    <mergeCell ref="AL4:AO4"/>
  </mergeCells>
  <conditionalFormatting sqref="N2:N10 P2:P10">
    <cfRule type="containsText" dxfId="94" priority="19" operator="containsText" text="For Attention">
      <formula>NOT(ISERROR(SEARCH("For Attention",N2)))</formula>
    </cfRule>
    <cfRule type="containsText" dxfId="93" priority="20" operator="containsText" text="At Risk">
      <formula>NOT(ISERROR(SEARCH("At Risk",N2)))</formula>
    </cfRule>
    <cfRule type="containsText" dxfId="92" priority="21" operator="containsText" text="On Track">
      <formula>NOT(ISERROR(SEARCH("On Track",N2)))</formula>
    </cfRule>
  </conditionalFormatting>
  <conditionalFormatting sqref="R2:R10">
    <cfRule type="containsText" dxfId="91" priority="13" operator="containsText" text="For Attention">
      <formula>NOT(ISERROR(SEARCH("For Attention",R2)))</formula>
    </cfRule>
    <cfRule type="containsText" dxfId="90" priority="14" operator="containsText" text="At Risk">
      <formula>NOT(ISERROR(SEARCH("At Risk",R2)))</formula>
    </cfRule>
    <cfRule type="containsText" dxfId="89" priority="15" operator="containsText" text="On Track">
      <formula>NOT(ISERROR(SEARCH("On Track",R2)))</formula>
    </cfRule>
  </conditionalFormatting>
  <conditionalFormatting sqref="T2:T10">
    <cfRule type="containsText" dxfId="88" priority="10" operator="containsText" text="For Attention">
      <formula>NOT(ISERROR(SEARCH("For Attention",T2)))</formula>
    </cfRule>
    <cfRule type="containsText" dxfId="87" priority="11" operator="containsText" text="At Risk">
      <formula>NOT(ISERROR(SEARCH("At Risk",T2)))</formula>
    </cfRule>
    <cfRule type="containsText" dxfId="86" priority="12" operator="containsText" text="On Track">
      <formula>NOT(ISERROR(SEARCH("On Track",T2)))</formula>
    </cfRule>
  </conditionalFormatting>
  <conditionalFormatting sqref="V2:V10">
    <cfRule type="containsText" dxfId="85" priority="7" operator="containsText" text="For Attention">
      <formula>NOT(ISERROR(SEARCH("For Attention",V2)))</formula>
    </cfRule>
    <cfRule type="containsText" dxfId="84" priority="8" operator="containsText" text="At Risk">
      <formula>NOT(ISERROR(SEARCH("At Risk",V2)))</formula>
    </cfRule>
    <cfRule type="containsText" dxfId="83" priority="9" operator="containsText" text="On Track">
      <formula>NOT(ISERROR(SEARCH("On Track",V2)))</formula>
    </cfRule>
  </conditionalFormatting>
  <conditionalFormatting sqref="X2:X10">
    <cfRule type="containsText" dxfId="82" priority="4" operator="containsText" text="For Attention">
      <formula>NOT(ISERROR(SEARCH("For Attention",X2)))</formula>
    </cfRule>
    <cfRule type="containsText" dxfId="81" priority="5" operator="containsText" text="At Risk">
      <formula>NOT(ISERROR(SEARCH("At Risk",X2)))</formula>
    </cfRule>
    <cfRule type="containsText" dxfId="80" priority="6" operator="containsText" text="On Track">
      <formula>NOT(ISERROR(SEARCH("On Track",X2)))</formula>
    </cfRule>
  </conditionalFormatting>
  <conditionalFormatting sqref="Z2:Z10">
    <cfRule type="containsText" dxfId="79" priority="1" operator="containsText" text="For Attention">
      <formula>NOT(ISERROR(SEARCH("For Attention",Z2)))</formula>
    </cfRule>
    <cfRule type="containsText" dxfId="78" priority="2" operator="containsText" text="At Risk">
      <formula>NOT(ISERROR(SEARCH("At Risk",Z2)))</formula>
    </cfRule>
    <cfRule type="containsText" dxfId="77" priority="3" operator="containsText" text="On Track">
      <formula>NOT(ISERROR(SEARCH("On Track",Z2)))</formula>
    </cfRule>
  </conditionalFormatting>
  <conditionalFormatting sqref="AB2:AJ10">
    <cfRule type="containsText" dxfId="76" priority="16" operator="containsText" text="Potential Problem">
      <formula>NOT(ISERROR(SEARCH("Potential Problem",AB2)))</formula>
    </cfRule>
    <cfRule type="containsText" dxfId="75" priority="17" operator="containsText" text="Actual Problem">
      <formula>NOT(ISERROR(SEARCH("Actual Problem",AB2)))</formula>
    </cfRule>
    <cfRule type="containsText" dxfId="74" priority="18" operator="containsText" text="On Track">
      <formula>NOT(ISERROR(SEARCH("On Track",AB2)))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Portfolio</vt:lpstr>
      <vt:lpstr>&lt;Approval numbers&gt;</vt:lpstr>
      <vt:lpstr>Field Definitions</vt:lpstr>
      <vt:lpstr>List</vt:lpstr>
      <vt:lpstr>'&lt;Approval numbers&gt;'!Print_Area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Nargiza Talipova</dc:creator>
  <cp:lastModifiedBy>Christian Loria</cp:lastModifiedBy>
  <dcterms:created xsi:type="dcterms:W3CDTF">2025-11-13T08:23:32Z</dcterms:created>
  <dcterms:modified xsi:type="dcterms:W3CDTF">2026-04-13T07:44:22Z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2025-11-13T08:23:44Z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3dc421e9-c0a9-4920-916c-cf3d6be15a93</vt:lpwstr>
  </property>
  <property fmtid="{D5CDD505-2E9C-101B-9397-08002B2CF9AE}" pid="8" name="MSIP_Label_817d4574-7375-4d17-b29c-6e4c6df0fcb0_ContentBits">
    <vt:lpwstr>2</vt:lpwstr>
  </property>
  <property fmtid="{D5CDD505-2E9C-101B-9397-08002B2CF9AE}" pid="9" name="MSIP_Label_817d4574-7375-4d17-b29c-6e4c6df0fcb0_Tag">
    <vt:lpwstr>50, 3, 0, 1</vt:lpwstr>
  </property>
  <property fmtid="{D5CDD505-2E9C-101B-9397-08002B2CF9AE}" pid="10" name="MediaServiceImageTags">
    <vt:lpwstr/>
  </property>
  <property fmtid="{D5CDD505-2E9C-101B-9397-08002B2CF9AE}" pid="11" name="ContentTypeId">
    <vt:lpwstr>0x0101009467FFABD75DC14882FC3EB5839B78B1</vt:lpwstr>
  </property>
  <property fmtid="{D5CDD505-2E9C-101B-9397-08002B2CF9AE}" pid="12" name="ADBSector">
    <vt:lpwstr/>
  </property>
  <property fmtid="{D5CDD505-2E9C-101B-9397-08002B2CF9AE}" pid="13" name="ADBDocumentLanguage">
    <vt:lpwstr/>
  </property>
  <property fmtid="{D5CDD505-2E9C-101B-9397-08002B2CF9AE}" pid="14" name="ADBDocumentType">
    <vt:lpwstr/>
  </property>
  <property fmtid="{D5CDD505-2E9C-101B-9397-08002B2CF9AE}" pid="15" name="ADBDepartmentOwner">
    <vt:lpwstr/>
  </property>
  <property fmtid="{D5CDD505-2E9C-101B-9397-08002B2CF9AE}" pid="16" name="p030e467f78f45b4ae8f7e2c17ea4d82">
    <vt:lpwstr/>
  </property>
  <property fmtid="{D5CDD505-2E9C-101B-9397-08002B2CF9AE}" pid="17" name="k985dbdc596c44d7acaf8184f33920f0">
    <vt:lpwstr/>
  </property>
  <property fmtid="{D5CDD505-2E9C-101B-9397-08002B2CF9AE}" pid="18" name="a37ff23a602146d4934a49238d370ca5">
    <vt:lpwstr/>
  </property>
  <property fmtid="{D5CDD505-2E9C-101B-9397-08002B2CF9AE}" pid="19" name="ia017ac09b1942648b563fe0b2b14d52">
    <vt:lpwstr/>
  </property>
  <property fmtid="{D5CDD505-2E9C-101B-9397-08002B2CF9AE}" pid="20" name="ADBCountry">
    <vt:lpwstr/>
  </property>
  <property fmtid="{D5CDD505-2E9C-101B-9397-08002B2CF9AE}" pid="21" name="d61536b25a8a4fedb48bb564279be82a">
    <vt:lpwstr/>
  </property>
  <property fmtid="{D5CDD505-2E9C-101B-9397-08002B2CF9AE}" pid="22" name="ADBContentGroup">
    <vt:lpwstr/>
  </property>
  <property fmtid="{D5CDD505-2E9C-101B-9397-08002B2CF9AE}" pid="23" name="ADBDivision">
    <vt:lpwstr/>
  </property>
  <property fmtid="{D5CDD505-2E9C-101B-9397-08002B2CF9AE}" pid="24" name="h00e4aaaf4624e24a7df7f06faa038c6">
    <vt:lpwstr/>
  </property>
  <property fmtid="{D5CDD505-2E9C-101B-9397-08002B2CF9AE}" pid="25" name="ADBDocumentSecurity">
    <vt:lpwstr/>
  </property>
  <property fmtid="{D5CDD505-2E9C-101B-9397-08002B2CF9AE}" pid="26" name="d01a0ce1b141461dbfb235a3ab729a2c">
    <vt:lpwstr/>
  </property>
</Properties>
</file>